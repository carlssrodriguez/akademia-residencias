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-36666" sheetId="1" r:id="rId4"/>
  </sheets>
  <definedNames/>
  <calcPr/>
  <extLst>
    <ext uri="GoogleSheetsCustomDataVersion2">
      <go:sheetsCustomData xmlns:go="http://customooxmlschemas.google.com/" r:id="rId5" roundtripDataChecksum="H6ht6DXJmJhJUJbPJJEUyyy0MWDGL15lLE8cQGp4U+Y="/>
    </ext>
  </extLst>
</workbook>
</file>

<file path=xl/sharedStrings.xml><?xml version="1.0" encoding="utf-8"?>
<sst xmlns="http://schemas.openxmlformats.org/spreadsheetml/2006/main" count="31" uniqueCount="30">
  <si>
    <t>Indicadores de Crecimiento y Estructura de la Población</t>
  </si>
  <si>
    <t>Indicadores de Estructura de la Población</t>
  </si>
  <si>
    <t/>
  </si>
  <si>
    <t>Proporción de población mayor de cierta edad por año</t>
  </si>
  <si>
    <t>Unidades: %</t>
  </si>
  <si>
    <t xml:space="preserve"> </t>
  </si>
  <si>
    <t>65 y más años</t>
  </si>
  <si>
    <t>80 y más años</t>
  </si>
  <si>
    <t>70 y más años</t>
  </si>
  <si>
    <t xml:space="preserve"> Crecimiento por año + 70</t>
  </si>
  <si>
    <t>Crecimiento medio</t>
  </si>
  <si>
    <t>2039</t>
  </si>
  <si>
    <t>2038</t>
  </si>
  <si>
    <t>2037</t>
  </si>
  <si>
    <t>2036</t>
  </si>
  <si>
    <t>2035</t>
  </si>
  <si>
    <t>2034</t>
  </si>
  <si>
    <t>2033</t>
  </si>
  <si>
    <t>2032</t>
  </si>
  <si>
    <t>2031</t>
  </si>
  <si>
    <t>2030</t>
  </si>
  <si>
    <t>2029</t>
  </si>
  <si>
    <t>2028</t>
  </si>
  <si>
    <t>2027</t>
  </si>
  <si>
    <t>2026</t>
  </si>
  <si>
    <t>2025</t>
  </si>
  <si>
    <t>2024</t>
  </si>
  <si>
    <t>Notas: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</si>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</sst>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0"/>
    <numFmt numFmtId="165" formatCode="0.0000%"/>
  </numFmts>
  <fonts count="8">
    <font>
      <sz val="11.0"/>
      <color rgb="FF000000"/>
      <name val="Aptos Narrow"/>
      <scheme val="minor"/>
    </font>
    <font>
      <b/>
      <sz val="11.0"/>
      <color rgb="FF000000"/>
      <name val="Arial"/>
    </font>
    <font/>
    <font>
      <b/>
      <sz val="10.0"/>
      <color rgb="FF000000"/>
      <name val="Arial"/>
    </font>
    <font>
      <sz val="11.0"/>
      <color rgb="FFFFFFFF"/>
      <name val="Calibri"/>
    </font>
    <font>
      <sz val="11.0"/>
      <color rgb="FF000000"/>
      <name val="Aptos Narrow"/>
    </font>
    <font>
      <sz val="9.0"/>
      <color rgb="FF000000"/>
      <name val="Arial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9BEBA"/>
        <bgColor rgb="FF89BEBA"/>
      </patternFill>
    </fill>
    <fill>
      <patternFill patternType="solid">
        <fgColor rgb="FFDDEEEC"/>
        <bgColor rgb="FFDDEEEC"/>
      </patternFill>
    </fill>
    <fill>
      <patternFill patternType="solid">
        <fgColor rgb="FFFFFFFF"/>
        <bgColor rgb="FFFFFFFF"/>
      </patternFill>
    </fill>
    <fill>
      <patternFill patternType="solid">
        <fgColor rgb="FFF3F4F7"/>
        <bgColor rgb="FFF3F4F7"/>
      </patternFill>
    </fill>
  </fills>
  <borders count="6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1" fillId="4" fontId="4" numFmtId="0" xfId="0" applyBorder="1" applyFill="1" applyFont="1"/>
    <xf borderId="1" fillId="4" fontId="1" numFmtId="0" xfId="0" applyBorder="1" applyFont="1"/>
    <xf borderId="1" fillId="4" fontId="3" numFmtId="0" xfId="0" applyBorder="1" applyFont="1"/>
    <xf borderId="4" fillId="2" fontId="5" numFmtId="0" xfId="0" applyBorder="1" applyFont="1"/>
    <xf borderId="4" fillId="2" fontId="3" numFmtId="0" xfId="0" applyAlignment="1" applyBorder="1" applyFont="1">
      <alignment horizontal="left"/>
    </xf>
    <xf borderId="5" fillId="2" fontId="3" numFmtId="0" xfId="0" applyAlignment="1" applyBorder="1" applyFont="1">
      <alignment horizontal="left"/>
    </xf>
    <xf borderId="4" fillId="5" fontId="6" numFmtId="164" xfId="0" applyAlignment="1" applyBorder="1" applyFill="1" applyFont="1" applyNumberFormat="1">
      <alignment horizontal="right"/>
    </xf>
    <xf borderId="0" fillId="0" fontId="5" numFmtId="165" xfId="0" applyFont="1" applyNumberFormat="1"/>
    <xf borderId="4" fillId="4" fontId="3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0"/>
    <col customWidth="1" min="2" max="4" width="19.5"/>
    <col customWidth="1" min="5" max="5" width="8.88"/>
    <col customWidth="1" min="6" max="6" width="27.13"/>
    <col customWidth="1" min="7" max="7" width="24.0"/>
    <col customWidth="1" min="8" max="8" width="8.88"/>
    <col customWidth="1" min="9" max="9" width="15.5"/>
    <col customWidth="1" min="10" max="26" width="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7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5" t="s">
        <v>2</v>
      </c>
      <c r="B6" s="2"/>
      <c r="C6" s="2"/>
      <c r="D6" s="2"/>
      <c r="E6" s="2"/>
      <c r="F6" s="2"/>
      <c r="G6" s="2"/>
      <c r="H6" s="2"/>
      <c r="I6" s="2"/>
      <c r="J6" s="2"/>
      <c r="K6" s="3"/>
    </row>
    <row r="7">
      <c r="A7" s="8" t="s">
        <v>5</v>
      </c>
      <c r="B7" s="9" t="s">
        <v>6</v>
      </c>
      <c r="C7" s="9" t="s">
        <v>7</v>
      </c>
      <c r="F7" s="9" t="s">
        <v>8</v>
      </c>
      <c r="G7" s="10" t="s">
        <v>9</v>
      </c>
      <c r="I7" s="10" t="s">
        <v>10</v>
      </c>
    </row>
    <row r="8">
      <c r="A8" s="9" t="s">
        <v>11</v>
      </c>
      <c r="B8" s="11">
        <v>26.527459</v>
      </c>
      <c r="C8" s="11">
        <v>8.104255</v>
      </c>
      <c r="F8" s="11">
        <v>19.522977</v>
      </c>
      <c r="G8" s="12">
        <f t="shared" ref="G8:G22" si="1">(F8-F9)/F9</f>
        <v>0.02067012355</v>
      </c>
    </row>
    <row r="9">
      <c r="A9" s="9" t="s">
        <v>12</v>
      </c>
      <c r="B9" s="11">
        <v>26.051935</v>
      </c>
      <c r="C9" s="11">
        <v>7.876164</v>
      </c>
      <c r="F9" s="11">
        <v>19.127607</v>
      </c>
      <c r="G9" s="12">
        <f t="shared" si="1"/>
        <v>0.02238534329</v>
      </c>
      <c r="I9" s="12">
        <f>(F8/F23)^(1/15) - 1</f>
        <v>0.01857033402</v>
      </c>
    </row>
    <row r="10">
      <c r="A10" s="9" t="s">
        <v>13</v>
      </c>
      <c r="B10" s="11">
        <v>25.569579</v>
      </c>
      <c r="C10" s="11">
        <v>7.654894</v>
      </c>
      <c r="F10" s="11">
        <v>18.708804</v>
      </c>
      <c r="G10" s="12">
        <f t="shared" si="1"/>
        <v>0.02205663834</v>
      </c>
    </row>
    <row r="11">
      <c r="A11" s="9" t="s">
        <v>14</v>
      </c>
      <c r="B11" s="11">
        <v>25.095612</v>
      </c>
      <c r="C11" s="11">
        <v>7.479751</v>
      </c>
      <c r="F11" s="11">
        <v>18.305056</v>
      </c>
      <c r="G11" s="12">
        <f t="shared" si="1"/>
        <v>0.02277384358</v>
      </c>
    </row>
    <row r="12">
      <c r="A12" s="9" t="s">
        <v>15</v>
      </c>
      <c r="B12" s="11">
        <v>24.628974</v>
      </c>
      <c r="C12" s="11">
        <v>7.315846</v>
      </c>
      <c r="F12" s="11">
        <v>17.897462</v>
      </c>
      <c r="G12" s="12">
        <f t="shared" si="1"/>
        <v>0.02494690853</v>
      </c>
    </row>
    <row r="13">
      <c r="A13" s="9" t="s">
        <v>16</v>
      </c>
      <c r="B13" s="11">
        <v>24.167199</v>
      </c>
      <c r="C13" s="11">
        <v>7.178468</v>
      </c>
      <c r="F13" s="11">
        <v>17.461843</v>
      </c>
      <c r="G13" s="12">
        <f t="shared" si="1"/>
        <v>0.02262952731</v>
      </c>
    </row>
    <row r="14">
      <c r="A14" s="9" t="s">
        <v>17</v>
      </c>
      <c r="B14" s="11">
        <v>23.710108</v>
      </c>
      <c r="C14" s="11">
        <v>7.031998</v>
      </c>
      <c r="F14" s="11">
        <v>17.075434</v>
      </c>
      <c r="G14" s="12">
        <f t="shared" si="1"/>
        <v>0.021255449</v>
      </c>
    </row>
    <row r="15">
      <c r="A15" s="9" t="s">
        <v>18</v>
      </c>
      <c r="B15" s="11">
        <v>23.239778</v>
      </c>
      <c r="C15" s="11">
        <v>6.882671</v>
      </c>
      <c r="F15" s="11">
        <v>16.720042</v>
      </c>
      <c r="G15" s="12">
        <f t="shared" si="1"/>
        <v>0.02041384024</v>
      </c>
    </row>
    <row r="16">
      <c r="A16" s="9" t="s">
        <v>19</v>
      </c>
      <c r="B16" s="11">
        <v>22.799883</v>
      </c>
      <c r="C16" s="11">
        <v>6.77368</v>
      </c>
      <c r="F16" s="11">
        <v>16.38555</v>
      </c>
      <c r="G16" s="12">
        <f t="shared" si="1"/>
        <v>0.02112419102</v>
      </c>
    </row>
    <row r="17">
      <c r="A17" s="9" t="s">
        <v>20</v>
      </c>
      <c r="B17" s="11">
        <v>22.372271</v>
      </c>
      <c r="C17" s="11">
        <v>6.680661</v>
      </c>
      <c r="F17" s="11">
        <v>16.046579</v>
      </c>
      <c r="G17" s="12">
        <f t="shared" si="1"/>
        <v>0.01952129211</v>
      </c>
    </row>
    <row r="18">
      <c r="A18" s="9" t="s">
        <v>21</v>
      </c>
      <c r="B18" s="11">
        <v>21.932077</v>
      </c>
      <c r="C18" s="11">
        <v>6.557968</v>
      </c>
      <c r="F18" s="11">
        <v>15.739327</v>
      </c>
      <c r="G18" s="12">
        <f t="shared" si="1"/>
        <v>0.01801800753</v>
      </c>
    </row>
    <row r="19">
      <c r="A19" s="9" t="s">
        <v>22</v>
      </c>
      <c r="B19" s="11">
        <v>21.563058</v>
      </c>
      <c r="C19" s="11">
        <v>6.399208</v>
      </c>
      <c r="F19" s="11">
        <v>15.460755</v>
      </c>
      <c r="G19" s="12">
        <f t="shared" si="1"/>
        <v>0.01625314326</v>
      </c>
    </row>
    <row r="20">
      <c r="A20" s="9" t="s">
        <v>23</v>
      </c>
      <c r="B20" s="11">
        <v>21.244885</v>
      </c>
      <c r="C20" s="11">
        <v>6.305395</v>
      </c>
      <c r="F20" s="11">
        <v>15.213488</v>
      </c>
      <c r="G20" s="12">
        <f t="shared" si="1"/>
        <v>0.01110189225</v>
      </c>
    </row>
    <row r="21" ht="15.75" customHeight="1">
      <c r="A21" s="9" t="s">
        <v>24</v>
      </c>
      <c r="B21" s="11">
        <v>20.963228</v>
      </c>
      <c r="C21" s="11">
        <v>6.242555</v>
      </c>
      <c r="F21" s="11">
        <v>15.046444</v>
      </c>
      <c r="G21" s="12">
        <f t="shared" si="1"/>
        <v>0.00915902498</v>
      </c>
    </row>
    <row r="22" ht="15.75" customHeight="1">
      <c r="A22" s="9" t="s">
        <v>25</v>
      </c>
      <c r="B22" s="11">
        <v>20.680072</v>
      </c>
      <c r="C22" s="11">
        <v>6.145612</v>
      </c>
      <c r="F22" s="11">
        <v>14.909884</v>
      </c>
      <c r="G22" s="12">
        <f t="shared" si="1"/>
        <v>0.006453163281</v>
      </c>
    </row>
    <row r="23" ht="15.75" customHeight="1">
      <c r="A23" s="9" t="s">
        <v>26</v>
      </c>
      <c r="B23" s="11">
        <v>20.42218</v>
      </c>
      <c r="C23" s="11">
        <v>6.07532</v>
      </c>
      <c r="F23" s="11">
        <v>14.814285</v>
      </c>
    </row>
    <row r="24" ht="15.75" customHeight="1"/>
    <row r="25" ht="15.75" customHeight="1"/>
    <row r="26" ht="15.75" customHeight="1">
      <c r="A26" s="13" t="s">
        <v>27</v>
      </c>
    </row>
    <row r="27" ht="15.75" customHeight="1"/>
    <row r="28" ht="15.75" customHeight="1">
      <c r="A28" s="13" t="s">
        <v>28</v>
      </c>
    </row>
    <row r="29" ht="15.75" customHeight="1">
      <c r="A29" s="14" t="s">
        <v>29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3:K3"/>
    <mergeCell ref="A4:K4"/>
    <mergeCell ref="A5:K5"/>
    <mergeCell ref="A6:K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2026-04-16T15:31:05Z</dcterms:created>
  <dc:creator>Apache POI</dc:creator>
</cp:coreProperties>
</file>