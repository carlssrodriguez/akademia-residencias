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ción Mayores 70" sheetId="1" r:id="rId4"/>
    <sheet state="visible" name="proyección hogares unipersona." sheetId="2" r:id="rId5"/>
    <sheet state="visible" name="provincia (%)" sheetId="3" r:id="rId6"/>
    <sheet state="visible" name="proyección hogares" sheetId="4" r:id="rId7"/>
  </sheets>
  <definedNames/>
  <calcPr/>
  <extLst>
    <ext uri="GoogleSheetsCustomDataVersion2">
      <go:sheetsCustomData xmlns:go="http://customooxmlschemas.google.com/" r:id="rId8" roundtripDataChecksum="8RoBFwP/xKbB7JDvr89GDy3cKxhujsSRP4OjI6VF574="/>
    </ext>
  </extLst>
</workbook>
</file>

<file path=xl/sharedStrings.xml><?xml version="1.0" encoding="utf-8"?>
<sst xmlns="http://schemas.openxmlformats.org/spreadsheetml/2006/main" count="1085" uniqueCount="127">
  <si>
    <t>Proyección de Hogares Unipersonales de Mayores de 70 años</t>
  </si>
  <si>
    <t xml:space="preserve">Fórmula: Proyección hogares unipersonales  × % Mayores de 70 por sexo </t>
  </si>
  <si>
    <t>Provincia</t>
  </si>
  <si>
    <t>Sexo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</si>
  <si>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</si>
  <si>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</si>
  <si>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</si>
  <si>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</si>
  <si>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</si>
  <si>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</si>
  <si>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</si>
  <si>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</si>
  <si>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</si>
  <si>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</si>
  <si>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</si>
  <si>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</si>
  <si>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</si>
  <si>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</si>
  <si>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</si>
  <si>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</si>
  <si>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Total Nacional</t>
  </si>
  <si>
    <t>Ambos Sexos</t>
  </si>
  <si>
    <t>Hombre</t>
  </si>
  <si>
    <t>Mujer</t>
  </si>
  <si>
    <t>Málaga</t>
  </si>
  <si>
    <t>Jaén</t>
  </si>
  <si>
    <t>Almería</t>
  </si>
  <si>
    <t>Huelva</t>
  </si>
  <si>
    <t>Cádiz</t>
  </si>
  <si>
    <t>Sevilla</t>
  </si>
  <si>
    <t>Granada</t>
  </si>
  <si>
    <t>Córdoba</t>
  </si>
  <si>
    <t>Zaragoza</t>
  </si>
  <si>
    <t>Teruel</t>
  </si>
  <si>
    <t>Huesca</t>
  </si>
  <si>
    <t>Asturias</t>
  </si>
  <si>
    <t>Santa Cruz de Tenerife</t>
  </si>
  <si>
    <t>Cantabria</t>
  </si>
  <si>
    <t>Guadalajara</t>
  </si>
  <si>
    <t>Ciudad Real</t>
  </si>
  <si>
    <t>Albacete</t>
  </si>
  <si>
    <t>Toledo</t>
  </si>
  <si>
    <t>Cuenca</t>
  </si>
  <si>
    <t>Burgos</t>
  </si>
  <si>
    <t>Soria</t>
  </si>
  <si>
    <t>Segovia</t>
  </si>
  <si>
    <t>Palencia</t>
  </si>
  <si>
    <t>Ávila</t>
  </si>
  <si>
    <t>Zamora</t>
  </si>
  <si>
    <t>Valladolid</t>
  </si>
  <si>
    <t>Salamanca</t>
  </si>
  <si>
    <t>León</t>
  </si>
  <si>
    <t>Lleida</t>
  </si>
  <si>
    <t>Girona</t>
  </si>
  <si>
    <t>Barcelona</t>
  </si>
  <si>
    <t>Tarragona</t>
  </si>
  <si>
    <t>Valencia/València</t>
  </si>
  <si>
    <t>Alicante/Alacant</t>
  </si>
  <si>
    <t>Castellón/Castelló</t>
  </si>
  <si>
    <t>Cáceres</t>
  </si>
  <si>
    <t>Badajoz</t>
  </si>
  <si>
    <t>Pontevedra</t>
  </si>
  <si>
    <t>Lugo</t>
  </si>
  <si>
    <t>Ourense</t>
  </si>
  <si>
    <t>Madrid</t>
  </si>
  <si>
    <t>Murcia</t>
  </si>
  <si>
    <t>Navarra</t>
  </si>
  <si>
    <t>Bizkaia</t>
  </si>
  <si>
    <t>Araba/Álava</t>
  </si>
  <si>
    <t>Gipuzkoa</t>
  </si>
  <si>
    <t>Ceuta</t>
  </si>
  <si>
    <t>Melilla</t>
  </si>
  <si>
    <t>Fuente: INE – Proyecciones de Hogares 2024–2039 y Encuesta Continua de Hogares.</t>
  </si>
  <si>
    <t>Proyección de Hogares Unipersonales por Territorio y Año</t>
  </si>
  <si>
    <t>Serie 2024–2039 · Hogares de personas residentes en viviendas familiares en España a 1 de enero</t>
  </si>
  <si>
    <t>Territorio</t>
  </si>
  <si>
    <t>Andalucía</t>
  </si>
  <si>
    <t>Aragón</t>
  </si>
  <si>
    <t>Asturias, Principado de</t>
  </si>
  <si>
    <t>Balears, Illes</t>
  </si>
  <si>
    <t>Canarias</t>
  </si>
  <si>
    <t>Palmas, Las</t>
  </si>
  <si>
    <t>Castilla - La Mancha</t>
  </si>
  <si>
    <t>Castilla y León</t>
  </si>
  <si>
    <t>Cataluña</t>
  </si>
  <si>
    <t>Comunitat Valenciana</t>
  </si>
  <si>
    <t>Extremadura</t>
  </si>
  <si>
    <t>Galicia</t>
  </si>
  <si>
    <t>Coruña, A</t>
  </si>
  <si>
    <t>Madrid, Comunidad de</t>
  </si>
  <si>
    <t>Murcia, Región de</t>
  </si>
  <si>
    <t>Navarra, Comunidad Foral de</t>
  </si>
  <si>
    <t>País Vasco</t>
  </si>
  <si>
    <t>Rioja, La</t>
  </si>
  <si>
    <t>Fuente: INE – Proyecciones de Hogares 2024–2039</t>
  </si>
  <si>
    <t>Año 2021</t>
  </si>
  <si>
    <t>Datos provinciales</t>
  </si>
  <si>
    <t>Hogares de una sola persona (unipersonales) según sexo y edad.</t>
  </si>
  <si>
    <t>Unidades: Hogares</t>
  </si>
  <si>
    <t xml:space="preserve"> </t>
  </si>
  <si>
    <t>Menos de 30 años</t>
  </si>
  <si>
    <t>De 30 a 39 años</t>
  </si>
  <si>
    <t>De 40 a 49 años</t>
  </si>
  <si>
    <t>De 50 a 59 años</t>
  </si>
  <si>
    <t>De 60 a 69 años</t>
  </si>
  <si>
    <t>De 70 a 79 años</t>
  </si>
  <si>
    <t>De 80 y más años</t>
  </si>
  <si>
    <t>Total</t>
  </si>
  <si>
    <t>PORCENTAJE DE MAYORES DE 70</t>
  </si>
  <si>
    <t xml:space="preserve">    Ambos Sexos</t>
  </si>
  <si>
    <t xml:space="preserve">    Hombre</t>
  </si>
  <si>
    <t xml:space="preserve">    Mujer</t>
  </si>
  <si>
    <t>.</t>
  </si>
  <si>
    <t>Notas:</t>
  </si>
  <si>
    <t>1) El símbolo '.' debe interpretarse como dato que no se proporciona por muestra insuficiente.</t>
  </si>
  <si>
    <t xml:space="preserve">Fuente: </t>
  </si>
  <si>
    <t>Instituto Nacional de Estadística</t>
  </si>
  <si>
    <t>Proyecciones de hogares</t>
  </si>
  <si>
    <t>Resultados por comunidades, provincias y ciudades autónomas. Serie 2024-2039</t>
  </si>
  <si>
    <t>Hogares de personas residentes en viviendas familiares en España a 1 de enero, por tamaño del hogar y año</t>
  </si>
  <si>
    <t>Unidades:   Personas,   Hogares</t>
  </si>
  <si>
    <t xml:space="preserve">    Total</t>
  </si>
  <si>
    <t xml:space="preserve">    1 persona</t>
  </si>
  <si>
    <t xml:space="preserve">    2 personas</t>
  </si>
  <si>
    <t xml:space="preserve">    3 personas</t>
  </si>
  <si>
    <t xml:space="preserve">    4 personas o más</t>
  </si>
  <si>
    <t xml:space="preserve">    Tamaño 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</si>
</sst>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rgb="FF000000"/>
      <name val="Aptos Narrow"/>
      <scheme val="minor"/>
    </font>
    <font>
      <b/>
      <sz val="12.0"/>
      <color rgb="FFFFFFFF"/>
      <name val="Arial"/>
    </font>
    <font/>
    <font>
      <i/>
      <sz val="9.0"/>
      <color rgb="FFFFFFFF"/>
      <name val="Arial"/>
    </font>
    <font>
      <b/>
      <sz val="9.0"/>
      <color rgb="FFFFFFFF"/>
      <name val="Arial"/>
    </font>
    <font>
      <b/>
      <sz val="9.0"/>
      <color theme="1"/>
      <name val="Arial"/>
    </font>
    <font>
      <sz val="9.0"/>
      <color rgb="FF1A5C4E"/>
      <name val="Arial"/>
    </font>
    <font>
      <sz val="9.0"/>
      <color theme="1"/>
      <name val="Arial"/>
    </font>
    <font>
      <sz val="9.0"/>
      <color rgb="FF1A4F7A"/>
      <name val="Arial"/>
    </font>
    <font>
      <sz val="9.0"/>
      <color rgb="FF7A1A4A"/>
      <name val="Arial"/>
    </font>
    <font>
      <i/>
      <sz val="7.0"/>
      <color rgb="FF666666"/>
      <name val="Arial"/>
    </font>
    <font>
      <b/>
      <sz val="10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i/>
      <sz val="8.0"/>
      <color rgb="FF666666"/>
      <name val="Arial"/>
    </font>
    <font>
      <color theme="1"/>
      <name val="Arial"/>
    </font>
    <font>
      <b/>
      <sz val="10.0"/>
      <color rgb="FF000000"/>
      <name val="Arial"/>
    </font>
    <font>
      <sz val="11.0"/>
      <color rgb="FFFFFFFF"/>
      <name val="Calibri"/>
    </font>
    <font>
      <b/>
      <sz val="11.0"/>
      <color rgb="FF000000"/>
      <name val="Arial"/>
    </font>
    <font>
      <sz val="11.0"/>
      <color rgb="FF000000"/>
      <name val="Aptos Narrow"/>
    </font>
    <font>
      <sz val="11.0"/>
      <color rgb="FF000000"/>
      <name val="Times New Roman"/>
    </font>
    <font>
      <color theme="1"/>
      <name val="Aptos Narrow"/>
      <scheme val="minor"/>
    </font>
    <font>
      <sz val="11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1A5C4E"/>
        <bgColor rgb="FF1A5C4E"/>
      </patternFill>
    </fill>
    <fill>
      <patternFill patternType="solid">
        <fgColor rgb="FF2E7D6B"/>
        <bgColor rgb="FF2E7D6B"/>
      </patternFill>
    </fill>
    <fill>
      <patternFill patternType="solid">
        <fgColor rgb="FFF0FAF7"/>
        <bgColor rgb="FFF0FAF7"/>
      </patternFill>
    </fill>
    <fill>
      <patternFill patternType="solid">
        <fgColor rgb="FFE8F4FB"/>
        <bgColor rgb="FFE8F4FB"/>
      </patternFill>
    </fill>
    <fill>
      <patternFill patternType="solid">
        <fgColor rgb="FFFDF0F5"/>
        <bgColor rgb="FFFDF0F5"/>
      </patternFill>
    </fill>
    <fill>
      <patternFill patternType="solid">
        <fgColor rgb="FF4A9B87"/>
        <bgColor rgb="FF4A9B87"/>
      </patternFill>
    </fill>
    <fill>
      <patternFill patternType="solid">
        <fgColor rgb="FFC8E6DF"/>
        <bgColor rgb="FFC8E6DF"/>
      </patternFill>
    </fill>
    <fill>
      <patternFill patternType="solid">
        <fgColor rgb="FFFFFFFF"/>
        <bgColor rgb="FFFFFFFF"/>
      </patternFill>
    </fill>
    <fill>
      <patternFill patternType="solid">
        <fgColor rgb="FFE8F5F2"/>
        <bgColor rgb="FFE8F5F2"/>
      </patternFill>
    </fill>
    <fill>
      <patternFill patternType="solid">
        <fgColor rgb="FFDDEEEC"/>
        <bgColor rgb="FFDDEEEC"/>
      </patternFill>
    </fill>
    <fill>
      <patternFill patternType="solid">
        <fgColor rgb="FF89BEBA"/>
        <bgColor rgb="FF89BEBA"/>
      </patternFill>
    </fill>
    <fill>
      <patternFill patternType="solid">
        <fgColor rgb="FFF3F4F7"/>
        <bgColor rgb="FFF3F4F7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 style="thin">
        <color rgb="FFFFFFFF"/>
      </bottom>
    </border>
    <border>
      <top/>
      <bottom style="thin">
        <color rgb="FFFFFFFF"/>
      </bottom>
    </border>
    <border>
      <right/>
      <top/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horizontal="center" vertical="center"/>
    </xf>
    <xf borderId="4" fillId="4" fontId="5" numFmtId="0" xfId="0" applyAlignment="1" applyBorder="1" applyFill="1" applyFont="1">
      <alignment horizontal="left" vertical="center"/>
    </xf>
    <xf borderId="4" fillId="4" fontId="6" numFmtId="0" xfId="0" applyAlignment="1" applyBorder="1" applyFont="1">
      <alignment horizontal="left" vertical="center"/>
    </xf>
    <xf borderId="4" fillId="4" fontId="7" numFmtId="3" xfId="0" applyAlignment="1" applyBorder="1" applyFont="1" applyNumberFormat="1">
      <alignment horizontal="right" vertical="center"/>
    </xf>
    <xf borderId="4" fillId="5" fontId="7" numFmtId="0" xfId="0" applyAlignment="1" applyBorder="1" applyFill="1" applyFont="1">
      <alignment horizontal="left" vertical="center"/>
    </xf>
    <xf borderId="4" fillId="5" fontId="8" numFmtId="0" xfId="0" applyAlignment="1" applyBorder="1" applyFont="1">
      <alignment horizontal="left" vertical="center"/>
    </xf>
    <xf borderId="4" fillId="5" fontId="7" numFmtId="3" xfId="0" applyAlignment="1" applyBorder="1" applyFont="1" applyNumberFormat="1">
      <alignment horizontal="right" vertical="center"/>
    </xf>
    <xf borderId="4" fillId="6" fontId="7" numFmtId="0" xfId="0" applyAlignment="1" applyBorder="1" applyFill="1" applyFont="1">
      <alignment horizontal="left" vertical="center"/>
    </xf>
    <xf borderId="4" fillId="6" fontId="9" numFmtId="0" xfId="0" applyAlignment="1" applyBorder="1" applyFont="1">
      <alignment horizontal="left" vertical="center"/>
    </xf>
    <xf borderId="4" fillId="6" fontId="7" numFmtId="3" xfId="0" applyAlignment="1" applyBorder="1" applyFont="1" applyNumberFormat="1">
      <alignment horizontal="right" vertical="center"/>
    </xf>
    <xf borderId="0" fillId="0" fontId="10" numFmtId="0" xfId="0" applyAlignment="1" applyFont="1">
      <alignment horizontal="left" shrinkToFit="0" wrapText="1"/>
    </xf>
    <xf borderId="5" fillId="3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7" fontId="3" numFmtId="0" xfId="0" applyAlignment="1" applyBorder="1" applyFill="1" applyFont="1">
      <alignment horizontal="center" vertical="center"/>
    </xf>
    <xf borderId="4" fillId="3" fontId="11" numFmtId="0" xfId="0" applyAlignment="1" applyBorder="1" applyFont="1">
      <alignment horizontal="left" vertical="center"/>
    </xf>
    <xf borderId="4" fillId="3" fontId="11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left" vertical="center"/>
    </xf>
    <xf borderId="4" fillId="2" fontId="4" numFmtId="3" xfId="0" applyAlignment="1" applyBorder="1" applyFont="1" applyNumberFormat="1">
      <alignment horizontal="right" vertical="center"/>
    </xf>
    <xf borderId="4" fillId="8" fontId="12" numFmtId="0" xfId="0" applyAlignment="1" applyBorder="1" applyFill="1" applyFont="1">
      <alignment horizontal="left" vertical="center"/>
    </xf>
    <xf borderId="4" fillId="8" fontId="13" numFmtId="3" xfId="0" applyAlignment="1" applyBorder="1" applyFont="1" applyNumberFormat="1">
      <alignment horizontal="right" vertical="center"/>
    </xf>
    <xf borderId="4" fillId="9" fontId="13" numFmtId="0" xfId="0" applyAlignment="1" applyBorder="1" applyFill="1" applyFont="1">
      <alignment horizontal="left" vertical="center"/>
    </xf>
    <xf borderId="4" fillId="9" fontId="13" numFmtId="3" xfId="0" applyAlignment="1" applyBorder="1" applyFont="1" applyNumberFormat="1">
      <alignment horizontal="right" vertical="center"/>
    </xf>
    <xf borderId="4" fillId="10" fontId="13" numFmtId="0" xfId="0" applyAlignment="1" applyBorder="1" applyFill="1" applyFont="1">
      <alignment horizontal="left" vertical="center"/>
    </xf>
    <xf borderId="4" fillId="10" fontId="13" numFmtId="3" xfId="0" applyAlignment="1" applyBorder="1" applyFont="1" applyNumberFormat="1">
      <alignment horizontal="right" vertical="center"/>
    </xf>
    <xf borderId="0" fillId="0" fontId="14" numFmtId="0" xfId="0" applyAlignment="1" applyFont="1">
      <alignment horizontal="left"/>
    </xf>
    <xf borderId="0" fillId="0" fontId="15" numFmtId="0" xfId="0" applyAlignment="1" applyFont="1">
      <alignment readingOrder="0"/>
    </xf>
    <xf borderId="8" fillId="11" fontId="16" numFmtId="0" xfId="0" applyBorder="1" applyFill="1" applyFont="1"/>
    <xf borderId="9" fillId="0" fontId="2" numFmtId="0" xfId="0" applyBorder="1" applyFont="1"/>
    <xf borderId="10" fillId="0" fontId="2" numFmtId="0" xfId="0" applyBorder="1" applyFont="1"/>
    <xf borderId="8" fillId="9" fontId="17" numFmtId="0" xfId="0" applyBorder="1" applyFont="1"/>
    <xf borderId="8" fillId="9" fontId="18" numFmtId="0" xfId="0" applyBorder="1" applyFont="1"/>
    <xf borderId="8" fillId="9" fontId="16" numFmtId="0" xfId="0" applyBorder="1" applyFont="1"/>
    <xf borderId="11" fillId="12" fontId="19" numFmtId="0" xfId="0" applyBorder="1" applyFill="1" applyFont="1"/>
    <xf borderId="11" fillId="12" fontId="16" numFmtId="0" xfId="0" applyAlignment="1" applyBorder="1" applyFont="1">
      <alignment horizontal="left"/>
    </xf>
    <xf borderId="8" fillId="12" fontId="16" numFmtId="0" xfId="0" applyAlignment="1" applyBorder="1" applyFont="1">
      <alignment horizontal="left"/>
    </xf>
    <xf borderId="11" fillId="11" fontId="16" numFmtId="0" xfId="0" applyAlignment="1" applyBorder="1" applyFont="1">
      <alignment horizontal="left"/>
    </xf>
    <xf borderId="11" fillId="13" fontId="13" numFmtId="3" xfId="0" applyAlignment="1" applyBorder="1" applyFill="1" applyFont="1" applyNumberFormat="1">
      <alignment horizontal="right"/>
    </xf>
    <xf borderId="0" fillId="0" fontId="20" numFmtId="10" xfId="0" applyFont="1" applyNumberFormat="1"/>
    <xf borderId="11" fillId="13" fontId="13" numFmtId="0" xfId="0" applyAlignment="1" applyBorder="1" applyFont="1">
      <alignment horizontal="right"/>
    </xf>
    <xf borderId="11" fillId="9" fontId="16" numFmtId="0" xfId="0" applyBorder="1" applyFont="1"/>
    <xf borderId="0" fillId="0" fontId="21" numFmtId="0" xfId="0" applyFont="1"/>
    <xf borderId="8" fillId="12" fontId="18" numFmtId="0" xfId="0" applyBorder="1" applyFont="1"/>
    <xf borderId="11" fillId="13" fontId="13" numFmtId="4" xfId="0" applyAlignment="1" applyBorder="1" applyFont="1" applyNumberFormat="1">
      <alignment horizontal="right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4.0"/>
    <col customWidth="1" min="2" max="2" width="14.0"/>
    <col customWidth="1" min="3" max="18" width="10.0"/>
    <col customWidth="1" min="19" max="26" width="8.5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8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</row>
    <row r="4" ht="15.0" customHeight="1">
      <c r="A4" s="6" t="s">
        <v>20</v>
      </c>
      <c r="B4" s="7" t="s">
        <v>21</v>
      </c>
      <c r="C4" s="8">
        <f>'proyección hogares'!Q10*'provincia (%)'!K9</f>
        <v>1866665.894</v>
      </c>
      <c r="D4" s="8">
        <f>'proyección hogares'!P10*'provincia (%)'!K9</f>
        <v>1927634.147</v>
      </c>
      <c r="E4" s="8">
        <f>'proyección hogares'!O10*'provincia (%)'!K9</f>
        <v>1988710.608</v>
      </c>
      <c r="F4" s="8">
        <f>'proyección hogares'!N10*'provincia (%)'!K9</f>
        <v>2048040.28</v>
      </c>
      <c r="G4" s="8">
        <f>'proyección hogares'!M10*'provincia (%)'!K9</f>
        <v>2106779.445</v>
      </c>
      <c r="H4" s="8">
        <f>'proyección hogares'!L10*'provincia (%)'!K9</f>
        <v>2165338.263</v>
      </c>
      <c r="I4" s="8">
        <f>'proyección hogares'!K10*'provincia (%)'!K9</f>
        <v>2220294.265</v>
      </c>
      <c r="J4" s="8">
        <f>'proyección hogares'!J10*'provincia (%)'!K9</f>
        <v>2272439.946</v>
      </c>
      <c r="K4" s="8">
        <f>'proyección hogares'!I10*'provincia (%)'!K9</f>
        <v>2323034.988</v>
      </c>
      <c r="L4" s="8">
        <f>'proyección hogares'!H10*'provincia (%)'!K9</f>
        <v>2372917.573</v>
      </c>
      <c r="M4" s="8">
        <f>'proyección hogares'!G10*'provincia (%)'!K9</f>
        <v>2420589.963</v>
      </c>
      <c r="N4" s="8">
        <f>'proyección hogares'!F10*'provincia (%)'!K9</f>
        <v>2467569.478</v>
      </c>
      <c r="O4" s="8">
        <f>'proyección hogares'!E10*'provincia (%)'!K9</f>
        <v>2514057.419</v>
      </c>
      <c r="P4" s="8">
        <f>'proyección hogares'!D10*'provincia (%)'!K9</f>
        <v>2559825.346</v>
      </c>
      <c r="Q4" s="8">
        <f>'proyección hogares'!C10*'provincia (%)'!K9</f>
        <v>2604790.472</v>
      </c>
      <c r="R4" s="8">
        <f>'proyección hogares'!B10*'provincia (%)'!K9</f>
        <v>2648134.88</v>
      </c>
    </row>
    <row r="5" ht="15.0" customHeight="1">
      <c r="A5" s="9"/>
      <c r="B5" s="10" t="s">
        <v>22</v>
      </c>
      <c r="C5" s="11">
        <f>'proyección hogares'!Q10*'provincia (%)'!K10</f>
        <v>1072416.307</v>
      </c>
      <c r="D5" s="11">
        <f>'proyección hogares'!P10*'provincia (%)'!K10</f>
        <v>1107443.116</v>
      </c>
      <c r="E5" s="11">
        <f>'proyección hogares'!O10*'provincia (%)'!K10</f>
        <v>1142532.091</v>
      </c>
      <c r="F5" s="11">
        <f>'proyección hogares'!N10*'provincia (%)'!K10</f>
        <v>1176617.52</v>
      </c>
      <c r="G5" s="11">
        <f>'proyección hogares'!M10*'provincia (%)'!K10</f>
        <v>1210363.697</v>
      </c>
      <c r="H5" s="11">
        <f>'proyección hogares'!L10*'provincia (%)'!K10</f>
        <v>1244006.264</v>
      </c>
      <c r="I5" s="11">
        <f>'proyección hogares'!K10*'provincia (%)'!K10</f>
        <v>1275578.98</v>
      </c>
      <c r="J5" s="11">
        <f>'proyección hogares'!J10*'provincia (%)'!K10</f>
        <v>1305537.142</v>
      </c>
      <c r="K5" s="11">
        <f>'proyección hogares'!I10*'provincia (%)'!K10</f>
        <v>1334604.447</v>
      </c>
      <c r="L5" s="11">
        <f>'proyección hogares'!H10*'provincia (%)'!K10</f>
        <v>1363262.44</v>
      </c>
      <c r="M5" s="11">
        <f>'proyección hogares'!G10*'provincia (%)'!K10</f>
        <v>1390650.656</v>
      </c>
      <c r="N5" s="11">
        <f>'proyección hogares'!F10*'provincia (%)'!K10</f>
        <v>1417640.809</v>
      </c>
      <c r="O5" s="11">
        <f>'proyección hogares'!E10*'provincia (%)'!K10</f>
        <v>1444348.548</v>
      </c>
      <c r="P5" s="11">
        <f>'proyección hogares'!D10*'provincia (%)'!K10</f>
        <v>1470642.633</v>
      </c>
      <c r="Q5" s="11">
        <f>'proyección hogares'!C10*'provincia (%)'!K10</f>
        <v>1496475.501</v>
      </c>
      <c r="R5" s="11">
        <f>'proyección hogares'!B10*'provincia (%)'!K10</f>
        <v>1521377.252</v>
      </c>
    </row>
    <row r="6" ht="15.0" customHeight="1">
      <c r="A6" s="12"/>
      <c r="B6" s="13" t="s">
        <v>23</v>
      </c>
      <c r="C6" s="14">
        <f>'proyección hogares'!Q10*'provincia (%)'!K11</f>
        <v>2554791.344</v>
      </c>
      <c r="D6" s="14">
        <f>'proyección hogares'!P10*'provincia (%)'!K11</f>
        <v>2638234.859</v>
      </c>
      <c r="E6" s="14">
        <f>'proyección hogares'!O10*'provincia (%)'!K11</f>
        <v>2721826.473</v>
      </c>
      <c r="F6" s="14">
        <f>'proyección hogares'!N10*'provincia (%)'!K11</f>
        <v>2803027.364</v>
      </c>
      <c r="G6" s="14">
        <f>'proyección hogares'!M10*'provincia (%)'!K11</f>
        <v>2883420.063</v>
      </c>
      <c r="H6" s="14">
        <f>'proyección hogares'!L10*'provincia (%)'!K11</f>
        <v>2963565.933</v>
      </c>
      <c r="I6" s="14">
        <f>'proyección hogares'!K10*'provincia (%)'!K11</f>
        <v>3038780.848</v>
      </c>
      <c r="J6" s="14">
        <f>'proyección hogares'!J10*'provincia (%)'!K11</f>
        <v>3110149.45</v>
      </c>
      <c r="K6" s="14">
        <f>'proyección hogares'!I10*'provincia (%)'!K11</f>
        <v>3179395.786</v>
      </c>
      <c r="L6" s="14">
        <f>'proyección hogares'!H10*'provincia (%)'!K11</f>
        <v>3247667.027</v>
      </c>
      <c r="M6" s="14">
        <f>'proyección hogares'!G10*'provincia (%)'!K11</f>
        <v>3312913.31</v>
      </c>
      <c r="N6" s="14">
        <f>'proyección hogares'!F10*'provincia (%)'!K11</f>
        <v>3377211.296</v>
      </c>
      <c r="O6" s="14">
        <f>'proyección hogares'!E10*'provincia (%)'!K11</f>
        <v>3440836.495</v>
      </c>
      <c r="P6" s="14">
        <f>'proyección hogares'!D10*'provincia (%)'!K11</f>
        <v>3503476.255</v>
      </c>
      <c r="Q6" s="14">
        <f>'proyección hogares'!C10*'provincia (%)'!K11</f>
        <v>3565017.27</v>
      </c>
      <c r="R6" s="14">
        <f>'proyección hogares'!B10*'provincia (%)'!K11</f>
        <v>3624340.108</v>
      </c>
    </row>
    <row r="7" ht="15.0" customHeight="1">
      <c r="A7" s="6" t="s">
        <v>24</v>
      </c>
      <c r="B7" s="7" t="s">
        <v>21</v>
      </c>
      <c r="C7" s="8">
        <f>'proyección hogares'!Q24*'provincia (%)'!K133</f>
        <v>55285.22429</v>
      </c>
      <c r="D7" s="8">
        <f>'proyección hogares'!P24*'provincia (%)'!K133</f>
        <v>57665.0236</v>
      </c>
      <c r="E7" s="8">
        <f>'proyección hogares'!O24*'provincia (%)'!K133</f>
        <v>60052.77925</v>
      </c>
      <c r="F7" s="8">
        <f>'proyección hogares'!N24*'provincia (%)'!K133</f>
        <v>62350.74188</v>
      </c>
      <c r="G7" s="8">
        <f>'proyección hogares'!M24*'provincia (%)'!K133</f>
        <v>64591.87348</v>
      </c>
      <c r="H7" s="8">
        <f>'proyección hogares'!L24*'provincia (%)'!K133</f>
        <v>66740.37051</v>
      </c>
      <c r="I7" s="8">
        <f>'proyección hogares'!K24*'provincia (%)'!K133</f>
        <v>68738.2653</v>
      </c>
      <c r="J7" s="8">
        <f>'proyección hogares'!J24*'provincia (%)'!K133</f>
        <v>70606.01705</v>
      </c>
      <c r="K7" s="8">
        <f>'proyección hogares'!I24*'provincia (%)'!K133</f>
        <v>72412.67544</v>
      </c>
      <c r="L7" s="8">
        <f>'proyección hogares'!H24*'provincia (%)'!K133</f>
        <v>74178.98379</v>
      </c>
      <c r="M7" s="8">
        <f>'proyección hogares'!G24*'provincia (%)'!K133</f>
        <v>75850.10018</v>
      </c>
      <c r="N7" s="8">
        <f>'proyección hogares'!F24*'provincia (%)'!K133</f>
        <v>77481.15069</v>
      </c>
      <c r="O7" s="8">
        <f>'proyección hogares'!E24*'provincia (%)'!K133</f>
        <v>79083.50153</v>
      </c>
      <c r="P7" s="8">
        <f>'proyección hogares'!D24*'provincia (%)'!K133</f>
        <v>80654.87946</v>
      </c>
      <c r="Q7" s="8">
        <f>'proyección hogares'!C24*'provincia (%)'!K133</f>
        <v>82199.83097</v>
      </c>
      <c r="R7" s="8">
        <f>'proyección hogares'!B24*'provincia (%)'!K133</f>
        <v>83697.89687</v>
      </c>
    </row>
    <row r="8" ht="15.0" customHeight="1">
      <c r="A8" s="9"/>
      <c r="B8" s="10" t="s">
        <v>22</v>
      </c>
      <c r="C8" s="11">
        <f>'proyección hogares'!Q24*'provincia (%)'!K134</f>
        <v>34792.12115</v>
      </c>
      <c r="D8" s="11">
        <f>'proyección hogares'!P24*'provincia (%)'!K134</f>
        <v>36289.77748</v>
      </c>
      <c r="E8" s="11">
        <f>'proyección hogares'!O24*'provincia (%)'!K134</f>
        <v>37792.44089</v>
      </c>
      <c r="F8" s="11">
        <f>'proyección hogares'!N24*'provincia (%)'!K134</f>
        <v>39238.59572</v>
      </c>
      <c r="G8" s="11">
        <f>'proyección hogares'!M24*'provincia (%)'!K134</f>
        <v>40648.98563</v>
      </c>
      <c r="H8" s="11">
        <f>'proyección hogares'!L24*'provincia (%)'!K134</f>
        <v>42001.0787</v>
      </c>
      <c r="I8" s="11">
        <f>'proyección hogares'!K24*'provincia (%)'!K134</f>
        <v>43258.39471</v>
      </c>
      <c r="J8" s="11">
        <f>'proyección hogares'!J24*'provincia (%)'!K134</f>
        <v>44433.80905</v>
      </c>
      <c r="K8" s="11">
        <f>'proyección hogares'!I24*'provincia (%)'!K134</f>
        <v>45570.77608</v>
      </c>
      <c r="L8" s="11">
        <f>'proyección hogares'!H24*'provincia (%)'!K134</f>
        <v>46682.35002</v>
      </c>
      <c r="M8" s="11">
        <f>'proyección hogares'!G24*'provincia (%)'!K134</f>
        <v>47734.0177</v>
      </c>
      <c r="N8" s="11">
        <f>'proyección hogares'!F24*'provincia (%)'!K134</f>
        <v>48760.47111</v>
      </c>
      <c r="O8" s="11">
        <f>'proyección hogares'!E24*'provincia (%)'!K134</f>
        <v>49768.86323</v>
      </c>
      <c r="P8" s="11">
        <f>'proyección hogares'!D24*'provincia (%)'!K134</f>
        <v>50757.76347</v>
      </c>
      <c r="Q8" s="11">
        <f>'proyección hogares'!C24*'provincia (%)'!K134</f>
        <v>51730.03301</v>
      </c>
      <c r="R8" s="11">
        <f>'proyección hogares'!B24*'provincia (%)'!K134</f>
        <v>52672.79649</v>
      </c>
    </row>
    <row r="9" ht="15.0" customHeight="1">
      <c r="A9" s="12"/>
      <c r="B9" s="13" t="s">
        <v>23</v>
      </c>
      <c r="C9" s="14">
        <f>'proyección hogares'!Q24*'provincia (%)'!K135</f>
        <v>75670.77971</v>
      </c>
      <c r="D9" s="14">
        <f>'proyección hogares'!P24*'provincia (%)'!K135</f>
        <v>78928.09252</v>
      </c>
      <c r="E9" s="14">
        <f>'proyección hogares'!O24*'provincia (%)'!K135</f>
        <v>82196.29545</v>
      </c>
      <c r="F9" s="14">
        <f>'proyección hogares'!N24*'provincia (%)'!K135</f>
        <v>85341.59559</v>
      </c>
      <c r="G9" s="14">
        <f>'proyección hogares'!M24*'provincia (%)'!K135</f>
        <v>88409.10916</v>
      </c>
      <c r="H9" s="14">
        <f>'proyección hogares'!L24*'provincia (%)'!K135</f>
        <v>91349.83061</v>
      </c>
      <c r="I9" s="14">
        <f>'proyección hogares'!K24*'provincia (%)'!K135</f>
        <v>94084.41764</v>
      </c>
      <c r="J9" s="14">
        <f>'proyección hogares'!J24*'provincia (%)'!K135</f>
        <v>96640.87341</v>
      </c>
      <c r="K9" s="14">
        <f>'proyección hogares'!I24*'provincia (%)'!K135</f>
        <v>99113.70862</v>
      </c>
      <c r="L9" s="14">
        <f>'proyección hogares'!H24*'provincia (%)'!K135</f>
        <v>101531.3154</v>
      </c>
      <c r="M9" s="14">
        <f>'proyección hogares'!G24*'provincia (%)'!K135</f>
        <v>103818.6296</v>
      </c>
      <c r="N9" s="14">
        <f>'proyección hogares'!F24*'provincia (%)'!K135</f>
        <v>106051.1043</v>
      </c>
      <c r="O9" s="14">
        <f>'proyección hogares'!E24*'provincia (%)'!K135</f>
        <v>108244.2967</v>
      </c>
      <c r="P9" s="14">
        <f>'proyección hogares'!D24*'provincia (%)'!K135</f>
        <v>110395.0955</v>
      </c>
      <c r="Q9" s="14">
        <f>'proyección hogares'!C24*'provincia (%)'!K135</f>
        <v>112509.7235</v>
      </c>
      <c r="R9" s="14">
        <f>'proyección hogares'!B24*'provincia (%)'!K135</f>
        <v>114560.1777</v>
      </c>
    </row>
    <row r="10" ht="15.0" customHeight="1">
      <c r="A10" s="6" t="s">
        <v>25</v>
      </c>
      <c r="B10" s="7" t="s">
        <v>21</v>
      </c>
      <c r="C10" s="8">
        <f>'proyección hogares'!Q31*'provincia (%)'!K113</f>
        <v>30775.97969</v>
      </c>
      <c r="D10" s="8">
        <f>'proyección hogares'!P31*'provincia (%)'!K113</f>
        <v>31663.8615</v>
      </c>
      <c r="E10" s="8">
        <f>'proyección hogares'!O31*'provincia (%)'!K113</f>
        <v>32514.25787</v>
      </c>
      <c r="F10" s="8">
        <f>'proyección hogares'!N31*'provincia (%)'!K113</f>
        <v>33272.68415</v>
      </c>
      <c r="G10" s="8">
        <f>'proyección hogares'!M31*'provincia (%)'!K113</f>
        <v>34073.8264</v>
      </c>
      <c r="H10" s="8">
        <f>'proyección hogares'!L31*'provincia (%)'!K113</f>
        <v>34908.53119</v>
      </c>
      <c r="I10" s="8">
        <f>'proyección hogares'!K31*'provincia (%)'!K113</f>
        <v>35657.80405</v>
      </c>
      <c r="J10" s="8">
        <f>'proyección hogares'!J31*'provincia (%)'!K113</f>
        <v>36313.7992</v>
      </c>
      <c r="K10" s="8">
        <f>'proyección hogares'!I31*'provincia (%)'!K113</f>
        <v>36947.12874</v>
      </c>
      <c r="L10" s="8">
        <f>'proyección hogares'!H31*'provincia (%)'!K113</f>
        <v>37623.17423</v>
      </c>
      <c r="M10" s="8">
        <f>'proyección hogares'!G31*'provincia (%)'!K113</f>
        <v>38263.04193</v>
      </c>
      <c r="N10" s="8">
        <f>'proyección hogares'!F31*'provincia (%)'!K113</f>
        <v>38859.3219</v>
      </c>
      <c r="O10" s="8">
        <f>'proyección hogares'!E31*'provincia (%)'!K113</f>
        <v>39454.29425</v>
      </c>
      <c r="P10" s="8">
        <f>'proyección hogares'!D31*'provincia (%)'!K113</f>
        <v>40058.85589</v>
      </c>
      <c r="Q10" s="8">
        <f>'proyección hogares'!C31*'provincia (%)'!K113</f>
        <v>40635.95727</v>
      </c>
      <c r="R10" s="8">
        <f>'proyección hogares'!B31*'provincia (%)'!K113</f>
        <v>41220.46856</v>
      </c>
    </row>
    <row r="11" ht="15.0" customHeight="1">
      <c r="A11" s="9"/>
      <c r="B11" s="10" t="s">
        <v>22</v>
      </c>
      <c r="C11" s="11">
        <f>'proyección hogares'!Q31*'provincia (%)'!K114</f>
        <v>17458.87279</v>
      </c>
      <c r="D11" s="11">
        <f>'proyección hogares'!P31*'provincia (%)'!K114</f>
        <v>17962.55832</v>
      </c>
      <c r="E11" s="11">
        <f>'proyección hogares'!O31*'provincia (%)'!K114</f>
        <v>18444.97877</v>
      </c>
      <c r="F11" s="11">
        <f>'proyección hogares'!N31*'provincia (%)'!K114</f>
        <v>18875.22561</v>
      </c>
      <c r="G11" s="11">
        <f>'proyección hogares'!M31*'provincia (%)'!K114</f>
        <v>19329.70475</v>
      </c>
      <c r="H11" s="11">
        <f>'proyección hogares'!L31*'provincia (%)'!K114</f>
        <v>19803.22354</v>
      </c>
      <c r="I11" s="11">
        <f>'proyección hogares'!K31*'provincia (%)'!K114</f>
        <v>20228.27774</v>
      </c>
      <c r="J11" s="11">
        <f>'proyección hogares'!J31*'provincia (%)'!K114</f>
        <v>20600.41654</v>
      </c>
      <c r="K11" s="11">
        <f>'proyección hogares'!I31*'provincia (%)'!K114</f>
        <v>20959.69737</v>
      </c>
      <c r="L11" s="11">
        <f>'proyección hogares'!H31*'provincia (%)'!K114</f>
        <v>21343.21051</v>
      </c>
      <c r="M11" s="11">
        <f>'proyección hogares'!G31*'provincia (%)'!K114</f>
        <v>21706.20037</v>
      </c>
      <c r="N11" s="11">
        <f>'proyección hogares'!F31*'provincia (%)'!K114</f>
        <v>22044.4634</v>
      </c>
      <c r="O11" s="11">
        <f>'proyección hogares'!E31*'provincia (%)'!K114</f>
        <v>22381.98463</v>
      </c>
      <c r="P11" s="11">
        <f>'proyección hogares'!D31*'provincia (%)'!K114</f>
        <v>22724.94576</v>
      </c>
      <c r="Q11" s="11">
        <f>'proyección hogares'!C31*'provincia (%)'!K114</f>
        <v>23052.32899</v>
      </c>
      <c r="R11" s="11">
        <f>'proyección hogares'!B31*'provincia (%)'!K114</f>
        <v>23383.91578</v>
      </c>
    </row>
    <row r="12" ht="15.0" customHeight="1">
      <c r="A12" s="12"/>
      <c r="B12" s="13" t="s">
        <v>23</v>
      </c>
      <c r="C12" s="14">
        <f>'proyección hogares'!Q31*'provincia (%)'!K115</f>
        <v>43077.28927</v>
      </c>
      <c r="D12" s="14">
        <f>'proyección hogares'!P31*'provincia (%)'!K115</f>
        <v>44320.06178</v>
      </c>
      <c r="E12" s="14">
        <f>'proyección hogares'!O31*'provincia (%)'!K115</f>
        <v>45510.36573</v>
      </c>
      <c r="F12" s="14">
        <f>'proyección hogares'!N31*'provincia (%)'!K115</f>
        <v>46571.93871</v>
      </c>
      <c r="G12" s="14">
        <f>'proyección hogares'!M31*'provincia (%)'!K115</f>
        <v>47693.30143</v>
      </c>
      <c r="H12" s="14">
        <f>'proyección hogares'!L31*'provincia (%)'!K115</f>
        <v>48861.64181</v>
      </c>
      <c r="I12" s="14">
        <f>'proyección hogares'!K31*'provincia (%)'!K115</f>
        <v>49910.4027</v>
      </c>
      <c r="J12" s="14">
        <f>'proyección hogares'!J31*'provincia (%)'!K115</f>
        <v>50828.60232</v>
      </c>
      <c r="K12" s="14">
        <f>'proyección hogares'!I31*'provincia (%)'!K115</f>
        <v>51715.07676</v>
      </c>
      <c r="L12" s="14">
        <f>'proyección hogares'!H31*'provincia (%)'!K115</f>
        <v>52661.34095</v>
      </c>
      <c r="M12" s="14">
        <f>'proyección hogares'!G31*'provincia (%)'!K115</f>
        <v>53556.96689</v>
      </c>
      <c r="N12" s="14">
        <f>'proyección hogares'!F31*'provincia (%)'!K115</f>
        <v>54391.58289</v>
      </c>
      <c r="O12" s="14">
        <f>'proyección hogares'!E31*'provincia (%)'!K115</f>
        <v>55224.36859</v>
      </c>
      <c r="P12" s="14">
        <f>'proyección hogares'!D31*'provincia (%)'!K115</f>
        <v>56070.57648</v>
      </c>
      <c r="Q12" s="14">
        <f>'proyección hogares'!C31*'provincia (%)'!K115</f>
        <v>56878.3481</v>
      </c>
      <c r="R12" s="14">
        <f>'proyección hogares'!B31*'provincia (%)'!K115</f>
        <v>57696.49141</v>
      </c>
    </row>
    <row r="13" ht="15.0" customHeight="1">
      <c r="A13" s="6" t="s">
        <v>26</v>
      </c>
      <c r="B13" s="7" t="s">
        <v>21</v>
      </c>
      <c r="C13" s="8">
        <f>'proyección hogares'!Q38*'provincia (%)'!K21</f>
        <v>25392.21869</v>
      </c>
      <c r="D13" s="8">
        <f>'proyección hogares'!P38*'provincia (%)'!K21</f>
        <v>26464.62302</v>
      </c>
      <c r="E13" s="8">
        <f>'proyección hogares'!O38*'provincia (%)'!K21</f>
        <v>27542.75363</v>
      </c>
      <c r="F13" s="8">
        <f>'proyección hogares'!N38*'provincia (%)'!K21</f>
        <v>28616.7486</v>
      </c>
      <c r="G13" s="8">
        <f>'proyección hogares'!M38*'provincia (%)'!K21</f>
        <v>29663.38469</v>
      </c>
      <c r="H13" s="8">
        <f>'proyección hogares'!L38*'provincia (%)'!K21</f>
        <v>30692.84195</v>
      </c>
      <c r="I13" s="8">
        <f>'proyección hogares'!K38*'provincia (%)'!K21</f>
        <v>31649.13012</v>
      </c>
      <c r="J13" s="8">
        <f>'proyección hogares'!J38*'provincia (%)'!K21</f>
        <v>32563.4256</v>
      </c>
      <c r="K13" s="8">
        <f>'proyección hogares'!I38*'provincia (%)'!K21</f>
        <v>33449.0897</v>
      </c>
      <c r="L13" s="8">
        <f>'proyección hogares'!H38*'provincia (%)'!K21</f>
        <v>34311.53056</v>
      </c>
      <c r="M13" s="8">
        <f>'proyección hogares'!G38*'provincia (%)'!K21</f>
        <v>35147.56693</v>
      </c>
      <c r="N13" s="8">
        <f>'proyección hogares'!F38*'provincia (%)'!K21</f>
        <v>35972.787</v>
      </c>
      <c r="O13" s="8">
        <f>'proyección hogares'!E38*'provincia (%)'!K21</f>
        <v>36801.18833</v>
      </c>
      <c r="P13" s="8">
        <f>'proyección hogares'!D38*'provincia (%)'!K21</f>
        <v>37623.86338</v>
      </c>
      <c r="Q13" s="8">
        <f>'proyección hogares'!C38*'provincia (%)'!K21</f>
        <v>38453.21909</v>
      </c>
      <c r="R13" s="8">
        <f>'proyección hogares'!B38*'provincia (%)'!K21</f>
        <v>39270.16787</v>
      </c>
    </row>
    <row r="14" ht="15.0" customHeight="1">
      <c r="A14" s="9"/>
      <c r="B14" s="10" t="s">
        <v>22</v>
      </c>
      <c r="C14" s="11">
        <f>'proyección hogares'!Q38*'provincia (%)'!K22</f>
        <v>14502.57782</v>
      </c>
      <c r="D14" s="11">
        <f>'proyección hogares'!P38*'provincia (%)'!K22</f>
        <v>15115.07362</v>
      </c>
      <c r="E14" s="11">
        <f>'proyección hogares'!O38*'provincia (%)'!K22</f>
        <v>15730.83994</v>
      </c>
      <c r="F14" s="11">
        <f>'proyección hogares'!N38*'provincia (%)'!K22</f>
        <v>16344.24422</v>
      </c>
      <c r="G14" s="11">
        <f>'proyección hogares'!M38*'provincia (%)'!K22</f>
        <v>16942.02268</v>
      </c>
      <c r="H14" s="11">
        <f>'proyección hogares'!L38*'provincia (%)'!K22</f>
        <v>17529.98958</v>
      </c>
      <c r="I14" s="11">
        <f>'proyección hogares'!K38*'provincia (%)'!K22</f>
        <v>18076.16649</v>
      </c>
      <c r="J14" s="11">
        <f>'proyección hogares'!J38*'provincia (%)'!K22</f>
        <v>18598.35959</v>
      </c>
      <c r="K14" s="11">
        <f>'proyección hogares'!I38*'provincia (%)'!K22</f>
        <v>19104.20009</v>
      </c>
      <c r="L14" s="11">
        <f>'proyección hogares'!H38*'provincia (%)'!K22</f>
        <v>19596.7768</v>
      </c>
      <c r="M14" s="11">
        <f>'proyección hogares'!G38*'provincia (%)'!K22</f>
        <v>20074.27279</v>
      </c>
      <c r="N14" s="11">
        <f>'proyección hogares'!F38*'provincia (%)'!K22</f>
        <v>20545.59112</v>
      </c>
      <c r="O14" s="11">
        <f>'proyección hogares'!E38*'provincia (%)'!K22</f>
        <v>21018.72641</v>
      </c>
      <c r="P14" s="11">
        <f>'proyección hogares'!D38*'provincia (%)'!K22</f>
        <v>21488.59118</v>
      </c>
      <c r="Q14" s="11">
        <f>'proyección hogares'!C38*'provincia (%)'!K22</f>
        <v>21962.27156</v>
      </c>
      <c r="R14" s="11">
        <f>'proyección hogares'!B38*'provincia (%)'!K22</f>
        <v>22428.86581</v>
      </c>
    </row>
    <row r="15" ht="15.0" customHeight="1">
      <c r="A15" s="12"/>
      <c r="B15" s="13" t="s">
        <v>23</v>
      </c>
      <c r="C15" s="14">
        <f>'proyección hogares'!Q38*'provincia (%)'!K23</f>
        <v>37653.79502</v>
      </c>
      <c r="D15" s="14">
        <f>'proyección hogares'!P38*'provincia (%)'!K23</f>
        <v>39244.04964</v>
      </c>
      <c r="E15" s="14">
        <f>'proyección hogares'!O38*'provincia (%)'!K23</f>
        <v>40842.79568</v>
      </c>
      <c r="F15" s="14">
        <f>'proyección hogares'!N38*'provincia (%)'!K23</f>
        <v>42435.40902</v>
      </c>
      <c r="G15" s="14">
        <f>'proyección hogares'!M38*'provincia (%)'!K23</f>
        <v>43987.45224</v>
      </c>
      <c r="H15" s="14">
        <f>'proyección hogares'!L38*'provincia (%)'!K23</f>
        <v>45514.0212</v>
      </c>
      <c r="I15" s="14">
        <f>'proyección hogares'!K38*'provincia (%)'!K23</f>
        <v>46932.08865</v>
      </c>
      <c r="J15" s="14">
        <f>'proyección hogares'!J38*'provincia (%)'!K23</f>
        <v>48287.88567</v>
      </c>
      <c r="K15" s="14">
        <f>'proyección hogares'!I38*'provincia (%)'!K23</f>
        <v>49601.22559</v>
      </c>
      <c r="L15" s="14">
        <f>'proyección hogares'!H38*'provincia (%)'!K23</f>
        <v>50880.12807</v>
      </c>
      <c r="M15" s="14">
        <f>'proyección hogares'!G38*'provincia (%)'!K23</f>
        <v>52119.87566</v>
      </c>
      <c r="N15" s="14">
        <f>'proyección hogares'!F38*'provincia (%)'!K23</f>
        <v>53343.5839</v>
      </c>
      <c r="O15" s="14">
        <f>'proyección hogares'!E38*'provincia (%)'!K23</f>
        <v>54572.0096</v>
      </c>
      <c r="P15" s="14">
        <f>'proyección hogares'!D38*'provincia (%)'!K23</f>
        <v>55791.94387</v>
      </c>
      <c r="Q15" s="14">
        <f>'proyección hogares'!C38*'provincia (%)'!K23</f>
        <v>57021.7848</v>
      </c>
      <c r="R15" s="14">
        <f>'proyección hogares'!B38*'provincia (%)'!K23</f>
        <v>58233.22766</v>
      </c>
    </row>
    <row r="16" ht="15.0" customHeight="1">
      <c r="A16" s="6" t="s">
        <v>27</v>
      </c>
      <c r="B16" s="7" t="s">
        <v>21</v>
      </c>
      <c r="C16" s="8">
        <f>'proyección hogares'!Q45*'provincia (%)'!K105</f>
        <v>16970.85928</v>
      </c>
      <c r="D16" s="8">
        <f>'proyección hogares'!P45*'provincia (%)'!K105</f>
        <v>17565.21391</v>
      </c>
      <c r="E16" s="8">
        <f>'proyección hogares'!O45*'provincia (%)'!K105</f>
        <v>18155.56097</v>
      </c>
      <c r="F16" s="8">
        <f>'proyección hogares'!N45*'provincia (%)'!K105</f>
        <v>18721.55427</v>
      </c>
      <c r="G16" s="8">
        <f>'proyección hogares'!M45*'provincia (%)'!K105</f>
        <v>19309.43512</v>
      </c>
      <c r="H16" s="8">
        <f>'proyección hogares'!L45*'provincia (%)'!K105</f>
        <v>19888.99254</v>
      </c>
      <c r="I16" s="8">
        <f>'proyección hogares'!K45*'provincia (%)'!K105</f>
        <v>20423.85005</v>
      </c>
      <c r="J16" s="8">
        <f>'proyección hogares'!J45*'provincia (%)'!K105</f>
        <v>20927.88004</v>
      </c>
      <c r="K16" s="8">
        <f>'proyección hogares'!I45*'provincia (%)'!K105</f>
        <v>21420.81212</v>
      </c>
      <c r="L16" s="8">
        <f>'proyección hogares'!H45*'provincia (%)'!K105</f>
        <v>21899.56355</v>
      </c>
      <c r="M16" s="8">
        <f>'proyección hogares'!G45*'provincia (%)'!K105</f>
        <v>22362.59293</v>
      </c>
      <c r="N16" s="8">
        <f>'proyección hogares'!F45*'provincia (%)'!K105</f>
        <v>22819.45681</v>
      </c>
      <c r="O16" s="8">
        <f>'proyección hogares'!E45*'provincia (%)'!K105</f>
        <v>23269.53864</v>
      </c>
      <c r="P16" s="8">
        <f>'proyección hogares'!D45*'provincia (%)'!K105</f>
        <v>23710.06393</v>
      </c>
      <c r="Q16" s="8">
        <f>'proyección hogares'!C45*'provincia (%)'!K105</f>
        <v>24148.73957</v>
      </c>
      <c r="R16" s="8">
        <f>'proyección hogares'!B45*'provincia (%)'!K105</f>
        <v>24563.67802</v>
      </c>
    </row>
    <row r="17" ht="15.0" customHeight="1">
      <c r="A17" s="9"/>
      <c r="B17" s="10" t="s">
        <v>22</v>
      </c>
      <c r="C17" s="11">
        <f>'proyección hogares'!Q45*'provincia (%)'!K106</f>
        <v>10474.23012</v>
      </c>
      <c r="D17" s="11">
        <f>'proyección hogares'!P45*'provincia (%)'!K106</f>
        <v>10841.05935</v>
      </c>
      <c r="E17" s="11">
        <f>'proyección hogares'!O45*'provincia (%)'!K106</f>
        <v>11205.41514</v>
      </c>
      <c r="F17" s="11">
        <f>'proyección hogares'!N45*'provincia (%)'!K106</f>
        <v>11554.74007</v>
      </c>
      <c r="G17" s="11">
        <f>'proyección hogares'!M45*'provincia (%)'!K106</f>
        <v>11917.57375</v>
      </c>
      <c r="H17" s="11">
        <f>'proyección hogares'!L45*'provincia (%)'!K106</f>
        <v>12275.27029</v>
      </c>
      <c r="I17" s="11">
        <f>'proyección hogares'!K45*'provincia (%)'!K106</f>
        <v>12605.37854</v>
      </c>
      <c r="J17" s="11">
        <f>'proyección hogares'!J45*'provincia (%)'!K106</f>
        <v>12916.46038</v>
      </c>
      <c r="K17" s="11">
        <f>'proyección hogares'!I45*'provincia (%)'!K106</f>
        <v>13220.69271</v>
      </c>
      <c r="L17" s="11">
        <f>'proyección hogares'!H45*'provincia (%)'!K106</f>
        <v>13516.17289</v>
      </c>
      <c r="M17" s="11">
        <f>'proyección hogares'!G45*'provincia (%)'!K106</f>
        <v>13801.9496</v>
      </c>
      <c r="N17" s="11">
        <f>'proyección hogares'!F45*'provincia (%)'!K106</f>
        <v>14083.92103</v>
      </c>
      <c r="O17" s="11">
        <f>'proyección hogares'!E45*'provincia (%)'!K106</f>
        <v>14361.70664</v>
      </c>
      <c r="P17" s="11">
        <f>'proyección hogares'!D45*'provincia (%)'!K106</f>
        <v>14633.59407</v>
      </c>
      <c r="Q17" s="11">
        <f>'proyección hogares'!C45*'provincia (%)'!K106</f>
        <v>14904.33992</v>
      </c>
      <c r="R17" s="11">
        <f>'proyección hogares'!B45*'provincia (%)'!K106</f>
        <v>15160.43542</v>
      </c>
    </row>
    <row r="18" ht="15.0" customHeight="1">
      <c r="A18" s="12"/>
      <c r="B18" s="13" t="s">
        <v>23</v>
      </c>
      <c r="C18" s="14">
        <f>'proyección hogares'!Q45*'provincia (%)'!K107</f>
        <v>22440.1437</v>
      </c>
      <c r="D18" s="14">
        <f>'proyección hogares'!P45*'provincia (%)'!K107</f>
        <v>23226.04399</v>
      </c>
      <c r="E18" s="14">
        <f>'proyección hogares'!O45*'provincia (%)'!K107</f>
        <v>24006.64516</v>
      </c>
      <c r="F18" s="14">
        <f>'proyección hogares'!N45*'provincia (%)'!K107</f>
        <v>24755.04399</v>
      </c>
      <c r="G18" s="14">
        <f>'proyección hogares'!M45*'provincia (%)'!K107</f>
        <v>25532.38416</v>
      </c>
      <c r="H18" s="14">
        <f>'proyección hogares'!L45*'provincia (%)'!K107</f>
        <v>26298.71848</v>
      </c>
      <c r="I18" s="14">
        <f>'proyección hogares'!K45*'provincia (%)'!K107</f>
        <v>27005.94721</v>
      </c>
      <c r="J18" s="14">
        <f>'proyección hogares'!J45*'provincia (%)'!K107</f>
        <v>27672.41349</v>
      </c>
      <c r="K18" s="14">
        <f>'proyección hogares'!I45*'provincia (%)'!K107</f>
        <v>28324.20528</v>
      </c>
      <c r="L18" s="14">
        <f>'proyección hogares'!H45*'provincia (%)'!K107</f>
        <v>28957.24633</v>
      </c>
      <c r="M18" s="14">
        <f>'proyección hogares'!G45*'provincia (%)'!K107</f>
        <v>29569.49853</v>
      </c>
      <c r="N18" s="14">
        <f>'proyección hogares'!F45*'provincia (%)'!K107</f>
        <v>30173.59824</v>
      </c>
      <c r="O18" s="14">
        <f>'proyección hogares'!E45*'provincia (%)'!K107</f>
        <v>30768.73021</v>
      </c>
      <c r="P18" s="14">
        <f>'proyección hogares'!D45*'provincia (%)'!K107</f>
        <v>31351.22581</v>
      </c>
      <c r="Q18" s="14">
        <f>'proyección hogares'!C45*'provincia (%)'!K107</f>
        <v>31931.27566</v>
      </c>
      <c r="R18" s="14">
        <f>'proyección hogares'!B45*'provincia (%)'!K107</f>
        <v>32479.93842</v>
      </c>
    </row>
    <row r="19" ht="15.0" customHeight="1">
      <c r="A19" s="6" t="s">
        <v>28</v>
      </c>
      <c r="B19" s="7" t="s">
        <v>21</v>
      </c>
      <c r="C19" s="8">
        <f>'proyección hogares'!Q52*'provincia (%)'!K61</f>
        <v>40402.25343</v>
      </c>
      <c r="D19" s="8">
        <f>'proyección hogares'!P52*'provincia (%)'!K61</f>
        <v>41948.91619</v>
      </c>
      <c r="E19" s="8">
        <f>'proyección hogares'!O52*'provincia (%)'!K61</f>
        <v>43489.94145</v>
      </c>
      <c r="F19" s="8">
        <f>'proyección hogares'!N52*'provincia (%)'!K61</f>
        <v>44995.48367</v>
      </c>
      <c r="G19" s="8">
        <f>'proyección hogares'!M52*'provincia (%)'!K61</f>
        <v>46475.82297</v>
      </c>
      <c r="H19" s="8">
        <f>'proyección hogares'!L52*'provincia (%)'!K61</f>
        <v>47954.5042</v>
      </c>
      <c r="I19" s="8">
        <f>'proyección hogares'!K52*'provincia (%)'!K61</f>
        <v>49336.68481</v>
      </c>
      <c r="J19" s="8">
        <f>'proyección hogares'!J52*'provincia (%)'!K61</f>
        <v>50649.55741</v>
      </c>
      <c r="K19" s="8">
        <f>'proyección hogares'!I52*'provincia (%)'!K61</f>
        <v>51925.28889</v>
      </c>
      <c r="L19" s="8">
        <f>'proyección hogares'!H52*'provincia (%)'!K61</f>
        <v>53188.41892</v>
      </c>
      <c r="M19" s="8">
        <f>'proyección hogares'!G52*'provincia (%)'!K61</f>
        <v>54385.88873</v>
      </c>
      <c r="N19" s="8">
        <f>'proyección hogares'!F52*'provincia (%)'!K61</f>
        <v>55550.86005</v>
      </c>
      <c r="O19" s="8">
        <f>'proyección hogares'!E52*'provincia (%)'!K61</f>
        <v>56704.22477</v>
      </c>
      <c r="P19" s="8">
        <f>'proyección hogares'!D52*'provincia (%)'!K61</f>
        <v>57825.75424</v>
      </c>
      <c r="Q19" s="8">
        <f>'proyección hogares'!C52*'provincia (%)'!K61</f>
        <v>58940.65136</v>
      </c>
      <c r="R19" s="8">
        <f>'proyección hogares'!B52*'provincia (%)'!K61</f>
        <v>59989.88828</v>
      </c>
    </row>
    <row r="20" ht="15.0" customHeight="1">
      <c r="A20" s="9"/>
      <c r="B20" s="10" t="s">
        <v>22</v>
      </c>
      <c r="C20" s="11">
        <f>'proyección hogares'!Q52*'provincia (%)'!K62</f>
        <v>22974.82117</v>
      </c>
      <c r="D20" s="11">
        <f>'proyección hogares'!P52*'provincia (%)'!K62</f>
        <v>23854.334</v>
      </c>
      <c r="E20" s="11">
        <f>'proyección hogares'!O52*'provincia (%)'!K62</f>
        <v>24730.64106</v>
      </c>
      <c r="F20" s="11">
        <f>'proyección hogares'!N52*'provincia (%)'!K62</f>
        <v>25586.77061</v>
      </c>
      <c r="G20" s="11">
        <f>'proyección hogares'!M52*'provincia (%)'!K62</f>
        <v>26428.56848</v>
      </c>
      <c r="H20" s="11">
        <f>'proyección hogares'!L52*'provincia (%)'!K62</f>
        <v>27269.42348</v>
      </c>
      <c r="I20" s="11">
        <f>'proyección hogares'!K52*'provincia (%)'!K62</f>
        <v>28055.40321</v>
      </c>
      <c r="J20" s="11">
        <f>'proyección hogares'!J52*'provincia (%)'!K62</f>
        <v>28801.97081</v>
      </c>
      <c r="K20" s="11">
        <f>'proyección hogares'!I52*'provincia (%)'!K62</f>
        <v>29527.41804</v>
      </c>
      <c r="L20" s="11">
        <f>'proyección hogares'!H52*'provincia (%)'!K62</f>
        <v>30245.69942</v>
      </c>
      <c r="M20" s="11">
        <f>'proyección hogares'!G52*'provincia (%)'!K62</f>
        <v>30926.64299</v>
      </c>
      <c r="N20" s="11">
        <f>'proyección hogares'!F52*'provincia (%)'!K62</f>
        <v>31589.10623</v>
      </c>
      <c r="O20" s="11">
        <f>'proyección hogares'!E52*'provincia (%)'!K62</f>
        <v>32244.96936</v>
      </c>
      <c r="P20" s="11">
        <f>'proyección hogares'!D52*'provincia (%)'!K62</f>
        <v>32882.7293</v>
      </c>
      <c r="Q20" s="11">
        <f>'proyección hogares'!C52*'provincia (%)'!K62</f>
        <v>33516.71775</v>
      </c>
      <c r="R20" s="11">
        <f>'proyección hogares'!B52*'provincia (%)'!K62</f>
        <v>34113.36839</v>
      </c>
    </row>
    <row r="21" ht="15.0" customHeight="1">
      <c r="A21" s="12"/>
      <c r="B21" s="13" t="s">
        <v>23</v>
      </c>
      <c r="C21" s="14">
        <f>'proyección hogares'!Q52*'provincia (%)'!K63</f>
        <v>56713.11566</v>
      </c>
      <c r="D21" s="14">
        <f>'proyección hogares'!P52*'provincia (%)'!K63</f>
        <v>58884.18426</v>
      </c>
      <c r="E21" s="14">
        <f>'proyección hogares'!O52*'provincia (%)'!K63</f>
        <v>61047.33944</v>
      </c>
      <c r="F21" s="14">
        <f>'proyección hogares'!N52*'provincia (%)'!K63</f>
        <v>63160.68666</v>
      </c>
      <c r="G21" s="14">
        <f>'proyección hogares'!M52*'provincia (%)'!K63</f>
        <v>65238.65626</v>
      </c>
      <c r="H21" s="14">
        <f>'proyección hogares'!L52*'provincia (%)'!K63</f>
        <v>67314.29838</v>
      </c>
      <c r="I21" s="14">
        <f>'proyección hogares'!K52*'provincia (%)'!K63</f>
        <v>69254.48147</v>
      </c>
      <c r="J21" s="14">
        <f>'proyección hogares'!J52*'provincia (%)'!K63</f>
        <v>71097.3761</v>
      </c>
      <c r="K21" s="14">
        <f>'proyección hogares'!I52*'provincia (%)'!K63</f>
        <v>72888.1353</v>
      </c>
      <c r="L21" s="14">
        <f>'proyección hogares'!H52*'provincia (%)'!K63</f>
        <v>74661.20569</v>
      </c>
      <c r="M21" s="14">
        <f>'proyección hogares'!G52*'provincia (%)'!K63</f>
        <v>76342.10807</v>
      </c>
      <c r="N21" s="14">
        <f>'proyección hogares'!F52*'provincia (%)'!K63</f>
        <v>77977.39194</v>
      </c>
      <c r="O21" s="14">
        <f>'proyección hogares'!E52*'provincia (%)'!K63</f>
        <v>79596.38349</v>
      </c>
      <c r="P21" s="14">
        <f>'proyección hogares'!D52*'provincia (%)'!K63</f>
        <v>81170.68752</v>
      </c>
      <c r="Q21" s="14">
        <f>'proyección hogares'!C52*'provincia (%)'!K63</f>
        <v>82735.68165</v>
      </c>
      <c r="R21" s="14">
        <f>'proyección hogares'!B52*'provincia (%)'!K63</f>
        <v>84208.50777</v>
      </c>
    </row>
    <row r="22" ht="15.0" customHeight="1">
      <c r="A22" s="6" t="s">
        <v>29</v>
      </c>
      <c r="B22" s="7" t="s">
        <v>21</v>
      </c>
      <c r="C22" s="8">
        <f>'proyección hogares'!Q59*'provincia (%)'!K177</f>
        <v>64126.14043</v>
      </c>
      <c r="D22" s="8">
        <f>'proyección hogares'!P59*'provincia (%)'!K177</f>
        <v>66490.61239</v>
      </c>
      <c r="E22" s="8">
        <f>'proyección hogares'!O59*'provincia (%)'!K177</f>
        <v>68862.12251</v>
      </c>
      <c r="F22" s="8">
        <f>'proyección hogares'!N59*'provincia (%)'!K177</f>
        <v>71124.18915</v>
      </c>
      <c r="G22" s="8">
        <f>'proyección hogares'!M59*'provincia (%)'!K177</f>
        <v>73419.68707</v>
      </c>
      <c r="H22" s="8">
        <f>'proyección hogares'!L59*'provincia (%)'!K177</f>
        <v>75728.20561</v>
      </c>
      <c r="I22" s="8">
        <f>'proyección hogares'!K59*'provincia (%)'!K177</f>
        <v>77901.94326</v>
      </c>
      <c r="J22" s="8">
        <f>'proyección hogares'!J59*'provincia (%)'!K177</f>
        <v>79946.88246</v>
      </c>
      <c r="K22" s="8">
        <f>'proyección hogares'!I59*'provincia (%)'!K177</f>
        <v>81997.4522</v>
      </c>
      <c r="L22" s="8">
        <f>'proyección hogares'!H59*'provincia (%)'!K177</f>
        <v>84015.64638</v>
      </c>
      <c r="M22" s="8">
        <f>'proyección hogares'!G59*'provincia (%)'!K177</f>
        <v>85955.365</v>
      </c>
      <c r="N22" s="8">
        <f>'proyección hogares'!F59*'provincia (%)'!K177</f>
        <v>87862.00424</v>
      </c>
      <c r="O22" s="8">
        <f>'proyección hogares'!E59*'provincia (%)'!K177</f>
        <v>89747.52898</v>
      </c>
      <c r="P22" s="8">
        <f>'proyección hogares'!D59*'provincia (%)'!K177</f>
        <v>91584.13847</v>
      </c>
      <c r="Q22" s="8">
        <f>'proyección hogares'!C59*'provincia (%)'!K177</f>
        <v>93413.35788</v>
      </c>
      <c r="R22" s="8">
        <f>'proyección hogares'!B59*'provincia (%)'!K177</f>
        <v>95166.21319</v>
      </c>
    </row>
    <row r="23" ht="15.0" customHeight="1">
      <c r="A23" s="9"/>
      <c r="B23" s="10" t="s">
        <v>22</v>
      </c>
      <c r="C23" s="11">
        <f>'proyección hogares'!Q59*'provincia (%)'!K178</f>
        <v>32843.12013</v>
      </c>
      <c r="D23" s="11">
        <f>'proyección hogares'!P59*'provincia (%)'!K178</f>
        <v>34054.11826</v>
      </c>
      <c r="E23" s="11">
        <f>'proyección hogares'!O59*'provincia (%)'!K178</f>
        <v>35268.72109</v>
      </c>
      <c r="F23" s="11">
        <f>'proyección hogares'!N59*'provincia (%)'!K178</f>
        <v>36427.27088</v>
      </c>
      <c r="G23" s="11">
        <f>'proyección hogares'!M59*'provincia (%)'!K178</f>
        <v>37602.94298</v>
      </c>
      <c r="H23" s="11">
        <f>'proyección hogares'!L59*'provincia (%)'!K178</f>
        <v>38785.28377</v>
      </c>
      <c r="I23" s="11">
        <f>'proyección hogares'!K59*'provincia (%)'!K178</f>
        <v>39898.5946</v>
      </c>
      <c r="J23" s="11">
        <f>'proyección hogares'!J59*'provincia (%)'!K178</f>
        <v>40945.93947</v>
      </c>
      <c r="K23" s="11">
        <f>'proyección hogares'!I59*'provincia (%)'!K178</f>
        <v>41996.16809</v>
      </c>
      <c r="L23" s="11">
        <f>'proyección hogares'!H59*'provincia (%)'!K178</f>
        <v>43029.81511</v>
      </c>
      <c r="M23" s="11">
        <f>'proyección hogares'!G59*'provincia (%)'!K178</f>
        <v>44023.26975</v>
      </c>
      <c r="N23" s="11">
        <f>'proyección hogares'!F59*'provincia (%)'!K178</f>
        <v>44999.78231</v>
      </c>
      <c r="O23" s="11">
        <f>'proyección hogares'!E59*'provincia (%)'!K178</f>
        <v>45965.48078</v>
      </c>
      <c r="P23" s="11">
        <f>'proyección hogares'!D59*'provincia (%)'!K178</f>
        <v>46906.1266</v>
      </c>
      <c r="Q23" s="11">
        <f>'proyección hogares'!C59*'provincia (%)'!K178</f>
        <v>47842.98748</v>
      </c>
      <c r="R23" s="11">
        <f>'proyección hogares'!B59*'provincia (%)'!K178</f>
        <v>48740.7374</v>
      </c>
    </row>
    <row r="24" ht="15.0" customHeight="1">
      <c r="A24" s="12"/>
      <c r="B24" s="13" t="s">
        <v>23</v>
      </c>
      <c r="C24" s="14">
        <f>'proyección hogares'!Q59*'provincia (%)'!K179</f>
        <v>89697.98499</v>
      </c>
      <c r="D24" s="14">
        <f>'proyección hogares'!P59*'provincia (%)'!K179</f>
        <v>93005.34714</v>
      </c>
      <c r="E24" s="14">
        <f>'proyección hogares'!O59*'provincia (%)'!K179</f>
        <v>96322.5541</v>
      </c>
      <c r="F24" s="14">
        <f>'proyección hogares'!N59*'provincia (%)'!K179</f>
        <v>99486.67434</v>
      </c>
      <c r="G24" s="14">
        <f>'proyección hogares'!M59*'provincia (%)'!K179</f>
        <v>102697.5574</v>
      </c>
      <c r="H24" s="14">
        <f>'proyección hogares'!L59*'provincia (%)'!K179</f>
        <v>105926.6534</v>
      </c>
      <c r="I24" s="14">
        <f>'proyección hogares'!K59*'provincia (%)'!K179</f>
        <v>108967.2213</v>
      </c>
      <c r="J24" s="14">
        <f>'proyección hogares'!J59*'provincia (%)'!K179</f>
        <v>111827.6293</v>
      </c>
      <c r="K24" s="14">
        <f>'proyección hogares'!I59*'provincia (%)'!K179</f>
        <v>114695.9132</v>
      </c>
      <c r="L24" s="14">
        <f>'proyección hogares'!H59*'provincia (%)'!K179</f>
        <v>117518.911</v>
      </c>
      <c r="M24" s="14">
        <f>'proyección hogares'!G59*'provincia (%)'!K179</f>
        <v>120232.1391</v>
      </c>
      <c r="N24" s="14">
        <f>'proyección hogares'!F59*'provincia (%)'!K179</f>
        <v>122899.0967</v>
      </c>
      <c r="O24" s="14">
        <f>'proyección hogares'!E59*'provincia (%)'!K179</f>
        <v>125536.5199</v>
      </c>
      <c r="P24" s="14">
        <f>'proyección hogares'!D59*'provincia (%)'!K179</f>
        <v>128105.5217</v>
      </c>
      <c r="Q24" s="14">
        <f>'proyección hogares'!C59*'provincia (%)'!K179</f>
        <v>130664.1865</v>
      </c>
      <c r="R24" s="14">
        <f>'proyección hogares'!B59*'provincia (%)'!K179</f>
        <v>133116.0351</v>
      </c>
    </row>
    <row r="25" ht="15.0" customHeight="1">
      <c r="A25" s="6" t="s">
        <v>30</v>
      </c>
      <c r="B25" s="7" t="s">
        <v>21</v>
      </c>
      <c r="C25" s="8">
        <f>'proyección hogares'!Q66*'provincia (%)'!K97</f>
        <v>38474.05232</v>
      </c>
      <c r="D25" s="8">
        <f>'proyección hogares'!P66*'provincia (%)'!K97</f>
        <v>39857.11829</v>
      </c>
      <c r="E25" s="8">
        <f>'proyección hogares'!O66*'provincia (%)'!K97</f>
        <v>41251.34596</v>
      </c>
      <c r="F25" s="8">
        <f>'proyección hogares'!N66*'provincia (%)'!K97</f>
        <v>42609.79053</v>
      </c>
      <c r="G25" s="8">
        <f>'proyección hogares'!M66*'provincia (%)'!K97</f>
        <v>43956.41683</v>
      </c>
      <c r="H25" s="8">
        <f>'proyección hogares'!L66*'provincia (%)'!K97</f>
        <v>45281.37631</v>
      </c>
      <c r="I25" s="8">
        <f>'proyección hogares'!K66*'provincia (%)'!K97</f>
        <v>46503.25419</v>
      </c>
      <c r="J25" s="8">
        <f>'proyección hogares'!J66*'provincia (%)'!K97</f>
        <v>47657.17702</v>
      </c>
      <c r="K25" s="8">
        <f>'proyección hogares'!I66*'provincia (%)'!K97</f>
        <v>48788.77645</v>
      </c>
      <c r="L25" s="8">
        <f>'proyección hogares'!H66*'provincia (%)'!K97</f>
        <v>49881.30993</v>
      </c>
      <c r="M25" s="8">
        <f>'proyección hogares'!G66*'provincia (%)'!K97</f>
        <v>50927.55518</v>
      </c>
      <c r="N25" s="8">
        <f>'proyección hogares'!F66*'provincia (%)'!K97</f>
        <v>51963.29531</v>
      </c>
      <c r="O25" s="8">
        <f>'proyección hogares'!E66*'provincia (%)'!K97</f>
        <v>52979.66659</v>
      </c>
      <c r="P25" s="8">
        <f>'proyección hogares'!D66*'provincia (%)'!K97</f>
        <v>53989.14389</v>
      </c>
      <c r="Q25" s="8">
        <f>'proyección hogares'!C66*'provincia (%)'!K97</f>
        <v>54963.16638</v>
      </c>
      <c r="R25" s="8">
        <f>'proyección hogares'!B66*'provincia (%)'!K97</f>
        <v>55910.26947</v>
      </c>
    </row>
    <row r="26" ht="15.0" customHeight="1">
      <c r="A26" s="9"/>
      <c r="B26" s="10" t="s">
        <v>22</v>
      </c>
      <c r="C26" s="11">
        <f>'proyección hogares'!Q66*'provincia (%)'!K98</f>
        <v>17984.80981</v>
      </c>
      <c r="D26" s="11">
        <f>'proyección hogares'!P66*'provincia (%)'!K98</f>
        <v>18631.3281</v>
      </c>
      <c r="E26" s="11">
        <f>'proyección hogares'!O66*'provincia (%)'!K98</f>
        <v>19283.06396</v>
      </c>
      <c r="F26" s="11">
        <f>'proyección hogares'!N66*'provincia (%)'!K98</f>
        <v>19918.0729</v>
      </c>
      <c r="G26" s="11">
        <f>'proyección hogares'!M66*'provincia (%)'!K98</f>
        <v>20547.55736</v>
      </c>
      <c r="H26" s="11">
        <f>'proyección hogares'!L66*'provincia (%)'!K98</f>
        <v>21166.91359</v>
      </c>
      <c r="I26" s="11">
        <f>'proyección hogares'!K66*'provincia (%)'!K98</f>
        <v>21738.08403</v>
      </c>
      <c r="J26" s="11">
        <f>'proyección hogares'!J66*'provincia (%)'!K98</f>
        <v>22277.48868</v>
      </c>
      <c r="K26" s="11">
        <f>'proyección hogares'!I66*'provincia (%)'!K98</f>
        <v>22806.45819</v>
      </c>
      <c r="L26" s="11">
        <f>'proyección hogares'!H66*'provincia (%)'!K98</f>
        <v>23317.1662</v>
      </c>
      <c r="M26" s="11">
        <f>'proyección hogares'!G66*'provincia (%)'!K98</f>
        <v>23806.23664</v>
      </c>
      <c r="N26" s="11">
        <f>'proyección hogares'!F66*'provincia (%)'!K98</f>
        <v>24290.39643</v>
      </c>
      <c r="O26" s="11">
        <f>'proyección hogares'!E66*'provincia (%)'!K98</f>
        <v>24765.50221</v>
      </c>
      <c r="P26" s="11">
        <f>'proyección hogares'!D66*'provincia (%)'!K98</f>
        <v>25237.38536</v>
      </c>
      <c r="Q26" s="11">
        <f>'proyección hogares'!C66*'provincia (%)'!K98</f>
        <v>25692.69506</v>
      </c>
      <c r="R26" s="11">
        <f>'proyección hogares'!B66*'provincia (%)'!K98</f>
        <v>26135.42121</v>
      </c>
    </row>
    <row r="27" ht="15.0" customHeight="1">
      <c r="A27" s="12"/>
      <c r="B27" s="13" t="s">
        <v>23</v>
      </c>
      <c r="C27" s="14">
        <f>'proyección hogares'!Q66*'provincia (%)'!K99</f>
        <v>58197.98563</v>
      </c>
      <c r="D27" s="14">
        <f>'proyección hogares'!P66*'provincia (%)'!K99</f>
        <v>60290.08793</v>
      </c>
      <c r="E27" s="14">
        <f>'proyección hogares'!O66*'provincia (%)'!K99</f>
        <v>62399.07404</v>
      </c>
      <c r="F27" s="14">
        <f>'proyección hogares'!N66*'provincia (%)'!K99</f>
        <v>64453.93265</v>
      </c>
      <c r="G27" s="14">
        <f>'proyección hogares'!M66*'provincia (%)'!K99</f>
        <v>66490.91429</v>
      </c>
      <c r="H27" s="14">
        <f>'proyección hogares'!L66*'provincia (%)'!K99</f>
        <v>68495.12148</v>
      </c>
      <c r="I27" s="14">
        <f>'proyección hogares'!K66*'provincia (%)'!K99</f>
        <v>70343.40174</v>
      </c>
      <c r="J27" s="14">
        <f>'proyección hogares'!J66*'provincia (%)'!K99</f>
        <v>72088.88942</v>
      </c>
      <c r="K27" s="14">
        <f>'proyección hogares'!I66*'provincia (%)'!K99</f>
        <v>73800.60949</v>
      </c>
      <c r="L27" s="14">
        <f>'proyección hogares'!H66*'provincia (%)'!K99</f>
        <v>75453.23623</v>
      </c>
      <c r="M27" s="14">
        <f>'proyección hogares'!G66*'provincia (%)'!K99</f>
        <v>77035.84483</v>
      </c>
      <c r="N27" s="14">
        <f>'proyección hogares'!F66*'provincia (%)'!K99</f>
        <v>78602.56279</v>
      </c>
      <c r="O27" s="14">
        <f>'proyección hogares'!E66*'provincia (%)'!K99</f>
        <v>80139.98238</v>
      </c>
      <c r="P27" s="14">
        <f>'proyección hogares'!D66*'provincia (%)'!K99</f>
        <v>81666.97373</v>
      </c>
      <c r="Q27" s="14">
        <f>'proyección hogares'!C66*'provincia (%)'!K99</f>
        <v>83140.33417</v>
      </c>
      <c r="R27" s="14">
        <f>'proyección hogares'!B66*'provincia (%)'!K99</f>
        <v>84572.97484</v>
      </c>
    </row>
    <row r="28" ht="15.0" customHeight="1">
      <c r="A28" s="6" t="s">
        <v>31</v>
      </c>
      <c r="B28" s="7" t="s">
        <v>21</v>
      </c>
      <c r="C28" s="8">
        <f>'proyección hogares'!Q73*'provincia (%)'!K77</f>
        <v>32066.23797</v>
      </c>
      <c r="D28" s="8">
        <f>'proyección hogares'!P73*'provincia (%)'!K77</f>
        <v>33144.03594</v>
      </c>
      <c r="E28" s="8">
        <f>'proyección hogares'!O73*'provincia (%)'!K77</f>
        <v>34186.8657</v>
      </c>
      <c r="F28" s="8">
        <f>'proyección hogares'!N73*'provincia (%)'!K77</f>
        <v>35160.53611</v>
      </c>
      <c r="G28" s="8">
        <f>'proyección hogares'!M73*'provincia (%)'!K77</f>
        <v>36160.23841</v>
      </c>
      <c r="H28" s="8">
        <f>'proyección hogares'!L73*'provincia (%)'!K77</f>
        <v>37159.16363</v>
      </c>
      <c r="I28" s="8">
        <f>'proyección hogares'!K73*'provincia (%)'!K77</f>
        <v>38078.05051</v>
      </c>
      <c r="J28" s="8">
        <f>'proyección hogares'!J73*'provincia (%)'!K77</f>
        <v>38899.02639</v>
      </c>
      <c r="K28" s="8">
        <f>'proyección hogares'!I73*'provincia (%)'!K77</f>
        <v>39728.55006</v>
      </c>
      <c r="L28" s="8">
        <f>'proyección hogares'!H73*'provincia (%)'!K77</f>
        <v>40559.62788</v>
      </c>
      <c r="M28" s="8">
        <f>'proyección hogares'!G73*'provincia (%)'!K77</f>
        <v>41350.29798</v>
      </c>
      <c r="N28" s="8">
        <f>'proyección hogares'!F73*'provincia (%)'!K77</f>
        <v>42118.82155</v>
      </c>
      <c r="O28" s="8">
        <f>'proyección hogares'!E73*'provincia (%)'!K77</f>
        <v>42866.75273</v>
      </c>
      <c r="P28" s="8">
        <f>'proyección hogares'!D73*'provincia (%)'!K77</f>
        <v>43608.85587</v>
      </c>
      <c r="Q28" s="8">
        <f>'proyección hogares'!C73*'provincia (%)'!K77</f>
        <v>44332.3093</v>
      </c>
      <c r="R28" s="8">
        <f>'proyección hogares'!B73*'provincia (%)'!K77</f>
        <v>45028.95377</v>
      </c>
    </row>
    <row r="29" ht="15.0" customHeight="1">
      <c r="A29" s="9"/>
      <c r="B29" s="10" t="s">
        <v>22</v>
      </c>
      <c r="C29" s="11">
        <f>'proyección hogares'!Q73*'provincia (%)'!K78</f>
        <v>16284.4802</v>
      </c>
      <c r="D29" s="11">
        <f>'proyección hogares'!P73*'provincia (%)'!K78</f>
        <v>16831.82784</v>
      </c>
      <c r="E29" s="11">
        <f>'proyección hogares'!O73*'provincia (%)'!K78</f>
        <v>17361.41726</v>
      </c>
      <c r="F29" s="11">
        <f>'proyección hogares'!N73*'provincia (%)'!K78</f>
        <v>17855.88489</v>
      </c>
      <c r="G29" s="11">
        <f>'proyección hogares'!M73*'provincia (%)'!K78</f>
        <v>18363.57251</v>
      </c>
      <c r="H29" s="11">
        <f>'proyección hogares'!L73*'provincia (%)'!K78</f>
        <v>18870.86551</v>
      </c>
      <c r="I29" s="11">
        <f>'proyección hogares'!K73*'provincia (%)'!K78</f>
        <v>19337.51193</v>
      </c>
      <c r="J29" s="11">
        <f>'proyección hogares'!J73*'provincia (%)'!K78</f>
        <v>19754.43535</v>
      </c>
      <c r="K29" s="11">
        <f>'proyección hogares'!I73*'provincia (%)'!K78</f>
        <v>20175.69967</v>
      </c>
      <c r="L29" s="11">
        <f>'proyección hogares'!H73*'provincia (%)'!K78</f>
        <v>20597.75324</v>
      </c>
      <c r="M29" s="11">
        <f>'proyección hogares'!G73*'provincia (%)'!K78</f>
        <v>20999.2862</v>
      </c>
      <c r="N29" s="11">
        <f>'proyección hogares'!F73*'provincia (%)'!K78</f>
        <v>21389.5723</v>
      </c>
      <c r="O29" s="11">
        <f>'proyección hogares'!E73*'provincia (%)'!K78</f>
        <v>21769.40078</v>
      </c>
      <c r="P29" s="11">
        <f>'proyección hogares'!D73*'provincia (%)'!K78</f>
        <v>22146.26956</v>
      </c>
      <c r="Q29" s="11">
        <f>'proyección hogares'!C73*'provincia (%)'!K78</f>
        <v>22513.66729</v>
      </c>
      <c r="R29" s="11">
        <f>'proyección hogares'!B73*'provincia (%)'!K78</f>
        <v>22867.45039</v>
      </c>
    </row>
    <row r="30" ht="15.0" customHeight="1">
      <c r="A30" s="12"/>
      <c r="B30" s="13" t="s">
        <v>23</v>
      </c>
      <c r="C30" s="14">
        <f>'proyección hogares'!Q73*'provincia (%)'!K79</f>
        <v>46248.79584</v>
      </c>
      <c r="D30" s="14">
        <f>'proyección hogares'!P73*'provincia (%)'!K79</f>
        <v>47803.29245</v>
      </c>
      <c r="E30" s="14">
        <f>'proyección hogares'!O73*'provincia (%)'!K79</f>
        <v>49307.35478</v>
      </c>
      <c r="F30" s="14">
        <f>'proyección hogares'!N73*'provincia (%)'!K79</f>
        <v>50711.66931</v>
      </c>
      <c r="G30" s="14">
        <f>'proyección hogares'!M73*'provincia (%)'!K79</f>
        <v>52153.52936</v>
      </c>
      <c r="H30" s="14">
        <f>'proyección hogares'!L73*'provincia (%)'!K79</f>
        <v>53594.26865</v>
      </c>
      <c r="I30" s="14">
        <f>'proyección hogares'!K73*'provincia (%)'!K79</f>
        <v>54919.56947</v>
      </c>
      <c r="J30" s="14">
        <f>'proyección hogares'!J73*'provincia (%)'!K79</f>
        <v>56103.65431</v>
      </c>
      <c r="K30" s="14">
        <f>'proyección hogares'!I73*'provincia (%)'!K79</f>
        <v>57300.06752</v>
      </c>
      <c r="L30" s="14">
        <f>'proyección hogares'!H73*'provincia (%)'!K79</f>
        <v>58498.72226</v>
      </c>
      <c r="M30" s="14">
        <f>'proyección hogares'!G73*'provincia (%)'!K79</f>
        <v>59639.09739</v>
      </c>
      <c r="N30" s="14">
        <f>'proyección hogares'!F73*'provincia (%)'!K79</f>
        <v>60747.5308</v>
      </c>
      <c r="O30" s="14">
        <f>'proyección hogares'!E73*'provincia (%)'!K79</f>
        <v>61826.26403</v>
      </c>
      <c r="P30" s="14">
        <f>'proyección hogares'!D73*'provincia (%)'!K79</f>
        <v>62896.59155</v>
      </c>
      <c r="Q30" s="14">
        <f>'proyección hogares'!C73*'provincia (%)'!K79</f>
        <v>63940.02078</v>
      </c>
      <c r="R30" s="14">
        <f>'proyección hogares'!B73*'provincia (%)'!K79</f>
        <v>64944.78373</v>
      </c>
    </row>
    <row r="31" ht="15.0" customHeight="1">
      <c r="A31" s="6" t="s">
        <v>32</v>
      </c>
      <c r="B31" s="7" t="s">
        <v>21</v>
      </c>
      <c r="C31" s="8">
        <f>'proyección hogares'!Q87*'provincia (%)'!K209</f>
        <v>47697.02189</v>
      </c>
      <c r="D31" s="8">
        <f>'proyección hogares'!P87*'provincia (%)'!K209</f>
        <v>49266.22669</v>
      </c>
      <c r="E31" s="8">
        <f>'proyección hogares'!O87*'provincia (%)'!K209</f>
        <v>50858.62743</v>
      </c>
      <c r="F31" s="8">
        <f>'proyección hogares'!N87*'provincia (%)'!K209</f>
        <v>52444.45598</v>
      </c>
      <c r="G31" s="8">
        <f>'proyección hogares'!M87*'provincia (%)'!K209</f>
        <v>54026.03195</v>
      </c>
      <c r="H31" s="8">
        <f>'proyección hogares'!L87*'provincia (%)'!K209</f>
        <v>55616.49969</v>
      </c>
      <c r="I31" s="8">
        <f>'proyección hogares'!K87*'provincia (%)'!K209</f>
        <v>57116.8899</v>
      </c>
      <c r="J31" s="8">
        <f>'proyección hogares'!J87*'provincia (%)'!K209</f>
        <v>58576.30062</v>
      </c>
      <c r="K31" s="8">
        <f>'proyección hogares'!I87*'provincia (%)'!K209</f>
        <v>60001.69065</v>
      </c>
      <c r="L31" s="8">
        <f>'proyección hogares'!H87*'provincia (%)'!K209</f>
        <v>61426.30748</v>
      </c>
      <c r="M31" s="8">
        <f>'proyección hogares'!G87*'provincia (%)'!K209</f>
        <v>62783.2695</v>
      </c>
      <c r="N31" s="8">
        <f>'proyección hogares'!F87*'provincia (%)'!K209</f>
        <v>64127.47376</v>
      </c>
      <c r="O31" s="8">
        <f>'proyección hogares'!E87*'provincia (%)'!K209</f>
        <v>65475.15742</v>
      </c>
      <c r="P31" s="8">
        <f>'proyección hogares'!D87*'provincia (%)'!K209</f>
        <v>66795.77915</v>
      </c>
      <c r="Q31" s="8">
        <f>'proyección hogares'!C87*'provincia (%)'!K209</f>
        <v>68100.16373</v>
      </c>
      <c r="R31" s="8">
        <f>'proyección hogares'!B87*'provincia (%)'!K209</f>
        <v>69347.71827</v>
      </c>
    </row>
    <row r="32" ht="15.0" customHeight="1">
      <c r="A32" s="9"/>
      <c r="B32" s="10" t="s">
        <v>22</v>
      </c>
      <c r="C32" s="11">
        <f>'proyección hogares'!Q87*'provincia (%)'!K210</f>
        <v>30384.41164</v>
      </c>
      <c r="D32" s="11">
        <f>'proyección hogares'!P87*'provincia (%)'!K210</f>
        <v>31384.04144</v>
      </c>
      <c r="E32" s="11">
        <f>'proyección hogares'!O87*'provincia (%)'!K210</f>
        <v>32398.44774</v>
      </c>
      <c r="F32" s="11">
        <f>'proyección hogares'!N87*'provincia (%)'!K210</f>
        <v>33408.66737</v>
      </c>
      <c r="G32" s="11">
        <f>'proyección hogares'!M87*'provincia (%)'!K210</f>
        <v>34416.17797</v>
      </c>
      <c r="H32" s="11">
        <f>'proyección hogares'!L87*'provincia (%)'!K210</f>
        <v>35429.35289</v>
      </c>
      <c r="I32" s="11">
        <f>'proyección hogares'!K87*'provincia (%)'!K210</f>
        <v>36385.14577</v>
      </c>
      <c r="J32" s="11">
        <f>'proyección hogares'!J87*'provincia (%)'!K210</f>
        <v>37314.8335</v>
      </c>
      <c r="K32" s="11">
        <f>'proyección hogares'!I87*'provincia (%)'!K210</f>
        <v>38222.84904</v>
      </c>
      <c r="L32" s="11">
        <f>'proyección hogares'!H87*'provincia (%)'!K210</f>
        <v>39130.37204</v>
      </c>
      <c r="M32" s="11">
        <f>'proyección hogares'!G87*'provincia (%)'!K210</f>
        <v>39994.79693</v>
      </c>
      <c r="N32" s="11">
        <f>'proyección hogares'!F87*'provincia (%)'!K210</f>
        <v>40851.09474</v>
      </c>
      <c r="O32" s="11">
        <f>'proyección hogares'!E87*'provincia (%)'!K210</f>
        <v>41709.60903</v>
      </c>
      <c r="P32" s="11">
        <f>'proyección hogares'!D87*'provincia (%)'!K210</f>
        <v>42550.88408</v>
      </c>
      <c r="Q32" s="11">
        <f>'proyección hogares'!C87*'provincia (%)'!K210</f>
        <v>43381.81558</v>
      </c>
      <c r="R32" s="11">
        <f>'proyección hogares'!B87*'provincia (%)'!K210</f>
        <v>44176.54467</v>
      </c>
    </row>
    <row r="33" ht="15.0" customHeight="1">
      <c r="A33" s="12"/>
      <c r="B33" s="13" t="s">
        <v>23</v>
      </c>
      <c r="C33" s="14">
        <f>'proyección hogares'!Q87*'provincia (%)'!K211</f>
        <v>60260.80575</v>
      </c>
      <c r="D33" s="14">
        <f>'proyección hogares'!P87*'provincia (%)'!K211</f>
        <v>62243.35187</v>
      </c>
      <c r="E33" s="14">
        <f>'proyección hogares'!O87*'provincia (%)'!K211</f>
        <v>64255.20393</v>
      </c>
      <c r="F33" s="14">
        <f>'proyección hogares'!N87*'provincia (%)'!K211</f>
        <v>66258.75263</v>
      </c>
      <c r="G33" s="14">
        <f>'proyección hogares'!M87*'provincia (%)'!K211</f>
        <v>68256.92859</v>
      </c>
      <c r="H33" s="14">
        <f>'proyección hogares'!L87*'provincia (%)'!K211</f>
        <v>70266.33848</v>
      </c>
      <c r="I33" s="14">
        <f>'proyección hogares'!K87*'provincia (%)'!K211</f>
        <v>72161.94368</v>
      </c>
      <c r="J33" s="14">
        <f>'proyección hogares'!J87*'provincia (%)'!K211</f>
        <v>74005.77507</v>
      </c>
      <c r="K33" s="14">
        <f>'proyección hogares'!I87*'provincia (%)'!K211</f>
        <v>75806.62443</v>
      </c>
      <c r="L33" s="14">
        <f>'proyección hogares'!H87*'provincia (%)'!K211</f>
        <v>77606.49693</v>
      </c>
      <c r="M33" s="14">
        <f>'proyección hogares'!G87*'provincia (%)'!K211</f>
        <v>79320.8938</v>
      </c>
      <c r="N33" s="14">
        <f>'proyección hogares'!F87*'provincia (%)'!K211</f>
        <v>81019.17241</v>
      </c>
      <c r="O33" s="14">
        <f>'proyección hogares'!E87*'provincia (%)'!K211</f>
        <v>82721.8469</v>
      </c>
      <c r="P33" s="14">
        <f>'proyección hogares'!D87*'provincia (%)'!K211</f>
        <v>84390.33115</v>
      </c>
      <c r="Q33" s="14">
        <f>'proyección hogares'!C87*'provincia (%)'!K211</f>
        <v>86038.30125</v>
      </c>
      <c r="R33" s="14">
        <f>'proyección hogares'!B87*'provincia (%)'!K211</f>
        <v>87614.47182</v>
      </c>
    </row>
    <row r="34" ht="15.0" customHeight="1">
      <c r="A34" s="6" t="s">
        <v>33</v>
      </c>
      <c r="B34" s="7" t="s">
        <v>21</v>
      </c>
      <c r="C34" s="8">
        <f>'proyección hogares'!Q94*'provincia (%)'!K189</f>
        <v>7456.615196</v>
      </c>
      <c r="D34" s="8">
        <f>'proyección hogares'!P94*'provincia (%)'!K189</f>
        <v>7689.773567</v>
      </c>
      <c r="E34" s="8">
        <f>'proyección hogares'!O94*'provincia (%)'!K189</f>
        <v>7916.860106</v>
      </c>
      <c r="F34" s="8">
        <f>'proyección hogares'!N94*'provincia (%)'!K189</f>
        <v>8138.2796</v>
      </c>
      <c r="G34" s="8">
        <f>'proyección hogares'!M94*'provincia (%)'!K189</f>
        <v>8367.794872</v>
      </c>
      <c r="H34" s="8">
        <f>'proyección hogares'!L94*'provincia (%)'!K189</f>
        <v>8590.023944</v>
      </c>
      <c r="I34" s="8">
        <f>'proyección hogares'!K94*'provincia (%)'!K189</f>
        <v>8804.562029</v>
      </c>
      <c r="J34" s="8">
        <f>'proyección hogares'!J94*'provincia (%)'!K189</f>
        <v>9014.242647</v>
      </c>
      <c r="K34" s="8">
        <f>'proyección hogares'!I94*'provincia (%)'!K189</f>
        <v>9216.232278</v>
      </c>
      <c r="L34" s="8">
        <f>'proyección hogares'!H94*'provincia (%)'!K189</f>
        <v>9418.626697</v>
      </c>
      <c r="M34" s="8">
        <f>'proyección hogares'!G94*'provincia (%)'!K189</f>
        <v>9620.211538</v>
      </c>
      <c r="N34" s="8">
        <f>'proyección hogares'!F94*'provincia (%)'!K189</f>
        <v>9805.200038</v>
      </c>
      <c r="O34" s="8">
        <f>'proyección hogares'!E94*'provincia (%)'!K189</f>
        <v>9996.26037</v>
      </c>
      <c r="P34" s="8">
        <f>'proyección hogares'!D94*'provincia (%)'!K189</f>
        <v>10181.65366</v>
      </c>
      <c r="Q34" s="8">
        <f>'proyección hogares'!C94*'provincia (%)'!K189</f>
        <v>10371.49962</v>
      </c>
      <c r="R34" s="8">
        <f>'proyección hogares'!B94*'provincia (%)'!K189</f>
        <v>10548.39235</v>
      </c>
    </row>
    <row r="35" ht="15.0" customHeight="1">
      <c r="A35" s="9"/>
      <c r="B35" s="10" t="s">
        <v>22</v>
      </c>
      <c r="C35" s="11">
        <f>'proyección hogares'!Q94*'provincia (%)'!K190</f>
        <v>4996.415346</v>
      </c>
      <c r="D35" s="11">
        <f>'proyección hogares'!P94*'provincia (%)'!K190</f>
        <v>5152.646563</v>
      </c>
      <c r="E35" s="11">
        <f>'proyección hogares'!O94*'provincia (%)'!K190</f>
        <v>5304.809258</v>
      </c>
      <c r="F35" s="11">
        <f>'proyección hogares'!N94*'provincia (%)'!K190</f>
        <v>5453.174667</v>
      </c>
      <c r="G35" s="11">
        <f>'proyección hogares'!M94*'provincia (%)'!K190</f>
        <v>5606.96477</v>
      </c>
      <c r="H35" s="11">
        <f>'proyección hogares'!L94*'provincia (%)'!K190</f>
        <v>5755.872649</v>
      </c>
      <c r="I35" s="11">
        <f>'proyección hogares'!K94*'provincia (%)'!K190</f>
        <v>5899.627066</v>
      </c>
      <c r="J35" s="11">
        <f>'proyección hogares'!J94*'provincia (%)'!K190</f>
        <v>6040.126667</v>
      </c>
      <c r="K35" s="11">
        <f>'proyección hogares'!I94*'provincia (%)'!K190</f>
        <v>6175.472808</v>
      </c>
      <c r="L35" s="11">
        <f>'proyección hogares'!H94*'provincia (%)'!K190</f>
        <v>6311.090184</v>
      </c>
      <c r="M35" s="11">
        <f>'proyección hogares'!G94*'provincia (%)'!K190</f>
        <v>6446.165089</v>
      </c>
      <c r="N35" s="11">
        <f>'proyección hogares'!F94*'provincia (%)'!K190</f>
        <v>6570.119371</v>
      </c>
      <c r="O35" s="11">
        <f>'proyección hogares'!E94*'provincia (%)'!K190</f>
        <v>6698.142173</v>
      </c>
      <c r="P35" s="11">
        <f>'proyección hogares'!D94*'provincia (%)'!K190</f>
        <v>6822.367689</v>
      </c>
      <c r="Q35" s="11">
        <f>'proyección hogares'!C94*'provincia (%)'!K190</f>
        <v>6949.576787</v>
      </c>
      <c r="R35" s="11">
        <f>'proyección hogares'!B94*'provincia (%)'!K190</f>
        <v>7068.106373</v>
      </c>
    </row>
    <row r="36" ht="15.0" customHeight="1">
      <c r="A36" s="12"/>
      <c r="B36" s="13" t="s">
        <v>23</v>
      </c>
      <c r="C36" s="14">
        <f>'proyección hogares'!Q94*'provincia (%)'!K191</f>
        <v>10475.79905</v>
      </c>
      <c r="D36" s="14">
        <f>'proyección hogares'!P94*'provincia (%)'!K191</f>
        <v>10803.36325</v>
      </c>
      <c r="E36" s="14">
        <f>'proyección hogares'!O94*'provincia (%)'!K191</f>
        <v>11122.39714</v>
      </c>
      <c r="F36" s="14">
        <f>'proyección hogares'!N94*'provincia (%)'!K191</f>
        <v>11433.4694</v>
      </c>
      <c r="G36" s="14">
        <f>'proyección hogares'!M94*'provincia (%)'!K191</f>
        <v>11755.91542</v>
      </c>
      <c r="H36" s="14">
        <f>'proyección hogares'!L94*'provincia (%)'!K191</f>
        <v>12068.12505</v>
      </c>
      <c r="I36" s="14">
        <f>'proyección hogares'!K94*'provincia (%)'!K191</f>
        <v>12369.52962</v>
      </c>
      <c r="J36" s="14">
        <f>'proyección hogares'!J94*'provincia (%)'!K191</f>
        <v>12664.10993</v>
      </c>
      <c r="K36" s="14">
        <f>'proyección hogares'!I94*'provincia (%)'!K191</f>
        <v>12947.88517</v>
      </c>
      <c r="L36" s="14">
        <f>'proyección hogares'!H94*'provincia (%)'!K191</f>
        <v>13232.2291</v>
      </c>
      <c r="M36" s="14">
        <f>'proyección hogares'!G94*'provincia (%)'!K191</f>
        <v>13515.43565</v>
      </c>
      <c r="N36" s="14">
        <f>'proyección hogares'!F94*'provincia (%)'!K191</f>
        <v>13775.326</v>
      </c>
      <c r="O36" s="14">
        <f>'proyección hogares'!E94*'provincia (%)'!K191</f>
        <v>14043.74667</v>
      </c>
      <c r="P36" s="14">
        <f>'proyección hogares'!D94*'provincia (%)'!K191</f>
        <v>14304.20571</v>
      </c>
      <c r="Q36" s="14">
        <f>'proyección hogares'!C94*'provincia (%)'!K191</f>
        <v>14570.92032</v>
      </c>
      <c r="R36" s="14">
        <f>'proyección hogares'!B94*'provincia (%)'!K191</f>
        <v>14819.43691</v>
      </c>
    </row>
    <row r="37" ht="15.0" customHeight="1">
      <c r="A37" s="6" t="s">
        <v>34</v>
      </c>
      <c r="B37" s="7" t="s">
        <v>21</v>
      </c>
      <c r="C37" s="8">
        <f>'proyección hogares'!Q101*'provincia (%)'!K109</f>
        <v>10775.05126</v>
      </c>
      <c r="D37" s="8">
        <f>'proyección hogares'!P101*'provincia (%)'!K109</f>
        <v>11131.40187</v>
      </c>
      <c r="E37" s="8">
        <f>'proyección hogares'!O101*'provincia (%)'!K109</f>
        <v>11489.93868</v>
      </c>
      <c r="F37" s="8">
        <f>'proyección hogares'!N101*'provincia (%)'!K109</f>
        <v>11840.45942</v>
      </c>
      <c r="G37" s="8">
        <f>'proyección hogares'!M101*'provincia (%)'!K109</f>
        <v>12184.78592</v>
      </c>
      <c r="H37" s="8">
        <f>'proyección hogares'!L101*'provincia (%)'!K109</f>
        <v>12538.22159</v>
      </c>
      <c r="I37" s="8">
        <f>'proyección hogares'!K101*'provincia (%)'!K109</f>
        <v>12875.9895</v>
      </c>
      <c r="J37" s="8">
        <f>'proyección hogares'!J101*'provincia (%)'!K109</f>
        <v>13195.53907</v>
      </c>
      <c r="K37" s="8">
        <f>'proyección hogares'!I101*'provincia (%)'!K109</f>
        <v>13511.44498</v>
      </c>
      <c r="L37" s="8">
        <f>'proyección hogares'!H101*'provincia (%)'!K109</f>
        <v>13826.98652</v>
      </c>
      <c r="M37" s="8">
        <f>'proyección hogares'!G101*'provincia (%)'!K109</f>
        <v>14135.60509</v>
      </c>
      <c r="N37" s="8">
        <f>'proyección hogares'!F101*'provincia (%)'!K109</f>
        <v>14433.29266</v>
      </c>
      <c r="O37" s="8">
        <f>'proyección hogares'!E101*'provincia (%)'!K109</f>
        <v>14736.8101</v>
      </c>
      <c r="P37" s="8">
        <f>'proyección hogares'!D101*'provincia (%)'!K109</f>
        <v>15030.48964</v>
      </c>
      <c r="Q37" s="8">
        <f>'proyección hogares'!C101*'provincia (%)'!K109</f>
        <v>15324.16918</v>
      </c>
      <c r="R37" s="8">
        <f>'proyección hogares'!B101*'provincia (%)'!K109</f>
        <v>15604.00278</v>
      </c>
    </row>
    <row r="38" ht="15.0" customHeight="1">
      <c r="A38" s="9"/>
      <c r="B38" s="10" t="s">
        <v>22</v>
      </c>
      <c r="C38" s="11">
        <f>'proyección hogares'!Q101*'provincia (%)'!K110</f>
        <v>6391.820299</v>
      </c>
      <c r="D38" s="11">
        <f>'proyección hogares'!P101*'provincia (%)'!K110</f>
        <v>6603.209459</v>
      </c>
      <c r="E38" s="11">
        <f>'proyección hogares'!O101*'provincia (%)'!K110</f>
        <v>6815.895486</v>
      </c>
      <c r="F38" s="11">
        <f>'proyección hogares'!N101*'provincia (%)'!K110</f>
        <v>7023.826337</v>
      </c>
      <c r="G38" s="11">
        <f>'proyección hogares'!M101*'provincia (%)'!K110</f>
        <v>7228.082734</v>
      </c>
      <c r="H38" s="11">
        <f>'proyección hogares'!L101*'provincia (%)'!K110</f>
        <v>7437.74274</v>
      </c>
      <c r="I38" s="11">
        <f>'proyección hogares'!K101*'provincia (%)'!K110</f>
        <v>7638.108539</v>
      </c>
      <c r="J38" s="11">
        <f>'proyección hogares'!J101*'provincia (%)'!K110</f>
        <v>7827.667122</v>
      </c>
      <c r="K38" s="11">
        <f>'proyección hogares'!I101*'provincia (%)'!K110</f>
        <v>8015.064261</v>
      </c>
      <c r="L38" s="11">
        <f>'proyección hogares'!H101*'provincia (%)'!K110</f>
        <v>8202.245256</v>
      </c>
      <c r="M38" s="11">
        <f>'proyección hogares'!G101*'provincia (%)'!K110</f>
        <v>8385.319508</v>
      </c>
      <c r="N38" s="11">
        <f>'proyección hogares'!F101*'provincia (%)'!K110</f>
        <v>8561.909431</v>
      </c>
      <c r="O38" s="11">
        <f>'proyección hogares'!E101*'provincia (%)'!K110</f>
        <v>8741.957662</v>
      </c>
      <c r="P38" s="11">
        <f>'proyección hogares'!D101*'provincia (%)'!K110</f>
        <v>8916.169997</v>
      </c>
      <c r="Q38" s="11">
        <f>'proyección hogares'!C101*'provincia (%)'!K110</f>
        <v>9090.382332</v>
      </c>
      <c r="R38" s="11">
        <f>'proyección hogares'!B101*'provincia (%)'!K110</f>
        <v>9256.381182</v>
      </c>
    </row>
    <row r="39" ht="15.0" customHeight="1">
      <c r="A39" s="12"/>
      <c r="B39" s="13" t="s">
        <v>23</v>
      </c>
      <c r="C39" s="14">
        <f>'proyección hogares'!Q101*'provincia (%)'!K111</f>
        <v>16201.0227</v>
      </c>
      <c r="D39" s="14">
        <f>'proyección hogares'!P101*'provincia (%)'!K111</f>
        <v>16736.82008</v>
      </c>
      <c r="E39" s="14">
        <f>'proyección hogares'!O101*'provincia (%)'!K111</f>
        <v>17275.90457</v>
      </c>
      <c r="F39" s="14">
        <f>'proyección hogares'!N101*'provincia (%)'!K111</f>
        <v>17802.93635</v>
      </c>
      <c r="G39" s="14">
        <f>'proyección hogares'!M101*'provincia (%)'!K111</f>
        <v>18320.65468</v>
      </c>
      <c r="H39" s="14">
        <f>'proyección hogares'!L101*'provincia (%)'!K111</f>
        <v>18852.06926</v>
      </c>
      <c r="I39" s="14">
        <f>'proyección hogares'!K101*'provincia (%)'!K111</f>
        <v>19359.92629</v>
      </c>
      <c r="J39" s="14">
        <f>'proyección hogares'!J101*'provincia (%)'!K111</f>
        <v>19840.39081</v>
      </c>
      <c r="K39" s="14">
        <f>'proyección hogares'!I101*'provincia (%)'!K111</f>
        <v>20315.37684</v>
      </c>
      <c r="L39" s="14">
        <f>'proyección hogares'!H101*'provincia (%)'!K111</f>
        <v>20789.81501</v>
      </c>
      <c r="M39" s="14">
        <f>'proyección hogares'!G101*'provincia (%)'!K111</f>
        <v>21253.84403</v>
      </c>
      <c r="N39" s="14">
        <f>'proyección hogares'!F101*'provincia (%)'!K111</f>
        <v>21701.43755</v>
      </c>
      <c r="O39" s="14">
        <f>'proyección hogares'!E101*'provincia (%)'!K111</f>
        <v>22157.79667</v>
      </c>
      <c r="P39" s="14">
        <f>'proyección hogares'!D101*'provincia (%)'!K111</f>
        <v>22599.36384</v>
      </c>
      <c r="Q39" s="14">
        <f>'proyección hogares'!C101*'provincia (%)'!K111</f>
        <v>23040.93101</v>
      </c>
      <c r="R39" s="14">
        <f>'proyección hogares'!B101*'provincia (%)'!K111</f>
        <v>23461.67987</v>
      </c>
    </row>
    <row r="40" ht="15.0" customHeight="1">
      <c r="A40" s="6" t="s">
        <v>35</v>
      </c>
      <c r="B40" s="7" t="s">
        <v>21</v>
      </c>
      <c r="C40" s="8">
        <f>'proyección hogares'!Q115*'provincia (%)'!K29</f>
        <v>59854.57598</v>
      </c>
      <c r="D40" s="8">
        <f>'proyección hogares'!P115*'provincia (%)'!K29</f>
        <v>61035.45042</v>
      </c>
      <c r="E40" s="8">
        <f>'proyección hogares'!O115*'provincia (%)'!K29</f>
        <v>62230.33193</v>
      </c>
      <c r="F40" s="8">
        <f>'proyección hogares'!N115*'provincia (%)'!K29</f>
        <v>63401.47923</v>
      </c>
      <c r="G40" s="8">
        <f>'proyección hogares'!M115*'provincia (%)'!K29</f>
        <v>64545.00146</v>
      </c>
      <c r="H40" s="8">
        <f>'proyección hogares'!L115*'provincia (%)'!K29</f>
        <v>65676.85113</v>
      </c>
      <c r="I40" s="8">
        <f>'proyección hogares'!K115*'provincia (%)'!K29</f>
        <v>66760.06511</v>
      </c>
      <c r="J40" s="8">
        <f>'proyección hogares'!J115*'provincia (%)'!K29</f>
        <v>67766.24017</v>
      </c>
      <c r="K40" s="8">
        <f>'proyección hogares'!I115*'provincia (%)'!K29</f>
        <v>68753.35003</v>
      </c>
      <c r="L40" s="8">
        <f>'proyección hogares'!H115*'provincia (%)'!K29</f>
        <v>69737.34722</v>
      </c>
      <c r="M40" s="8">
        <f>'proyección hogares'!G115*'provincia (%)'!K29</f>
        <v>70638.46919</v>
      </c>
      <c r="N40" s="8">
        <f>'proyección hogares'!F115*'provincia (%)'!K29</f>
        <v>71517.4133</v>
      </c>
      <c r="O40" s="8">
        <f>'proyección hogares'!E115*'provincia (%)'!K29</f>
        <v>72380.40489</v>
      </c>
      <c r="P40" s="8">
        <f>'proyección hogares'!D115*'provincia (%)'!K29</f>
        <v>73217.32776</v>
      </c>
      <c r="Q40" s="8">
        <f>'proyección hogares'!C115*'provincia (%)'!K29</f>
        <v>74013.39666</v>
      </c>
      <c r="R40" s="8">
        <f>'proyección hogares'!B115*'provincia (%)'!K29</f>
        <v>74739.04108</v>
      </c>
    </row>
    <row r="41" ht="15.0" customHeight="1">
      <c r="A41" s="9"/>
      <c r="B41" s="10" t="s">
        <v>22</v>
      </c>
      <c r="C41" s="11">
        <f>'proyección hogares'!Q115*'provincia (%)'!K30</f>
        <v>32903.55488</v>
      </c>
      <c r="D41" s="11">
        <f>'proyección hogares'!P115*'provincia (%)'!K30</f>
        <v>33552.71104</v>
      </c>
      <c r="E41" s="11">
        <f>'proyección hogares'!O115*'provincia (%)'!K30</f>
        <v>34209.56724</v>
      </c>
      <c r="F41" s="11">
        <f>'proyección hogares'!N115*'provincia (%)'!K30</f>
        <v>34853.37615</v>
      </c>
      <c r="G41" s="11">
        <f>'proyección hogares'!M115*'provincia (%)'!K30</f>
        <v>35481.99888</v>
      </c>
      <c r="H41" s="11">
        <f>'proyección hogares'!L115*'provincia (%)'!K30</f>
        <v>36104.2049</v>
      </c>
      <c r="I41" s="11">
        <f>'proyección hogares'!K115*'provincia (%)'!K30</f>
        <v>36699.67467</v>
      </c>
      <c r="J41" s="11">
        <f>'proyección hogares'!J115*'provincia (%)'!K30</f>
        <v>37252.79422</v>
      </c>
      <c r="K41" s="11">
        <f>'proyección hogares'!I115*'provincia (%)'!K30</f>
        <v>37795.43316</v>
      </c>
      <c r="L41" s="11">
        <f>'proyección hogares'!H115*'provincia (%)'!K30</f>
        <v>38336.36098</v>
      </c>
      <c r="M41" s="11">
        <f>'proyección hogares'!G115*'provincia (%)'!K30</f>
        <v>38831.73023</v>
      </c>
      <c r="N41" s="11">
        <f>'proyección hogares'!F115*'provincia (%)'!K30</f>
        <v>39314.90775</v>
      </c>
      <c r="O41" s="11">
        <f>'proyección hogares'!E115*'provincia (%)'!K30</f>
        <v>39789.31578</v>
      </c>
      <c r="P41" s="11">
        <f>'proyección hogares'!D115*'provincia (%)'!K30</f>
        <v>40249.39318</v>
      </c>
      <c r="Q41" s="11">
        <f>'proyección hogares'!C115*'provincia (%)'!K30</f>
        <v>40687.01212</v>
      </c>
      <c r="R41" s="11">
        <f>'proyección hogares'!B115*'provincia (%)'!K30</f>
        <v>41085.91698</v>
      </c>
    </row>
    <row r="42" ht="15.0" customHeight="1">
      <c r="A42" s="12"/>
      <c r="B42" s="13" t="s">
        <v>23</v>
      </c>
      <c r="C42" s="14">
        <f>'proyección hogares'!Q115*'provincia (%)'!K31</f>
        <v>80721.0608</v>
      </c>
      <c r="D42" s="14">
        <f>'proyección hogares'!P115*'provincia (%)'!K31</f>
        <v>82313.61133</v>
      </c>
      <c r="E42" s="14">
        <f>'proyección hogares'!O115*'provincia (%)'!K31</f>
        <v>83925.05209</v>
      </c>
      <c r="F42" s="14">
        <f>'proyección hogares'!N115*'provincia (%)'!K31</f>
        <v>85504.48442</v>
      </c>
      <c r="G42" s="14">
        <f>'proyección hogares'!M115*'provincia (%)'!K31</f>
        <v>87046.66104</v>
      </c>
      <c r="H42" s="14">
        <f>'proyección hogares'!L115*'provincia (%)'!K31</f>
        <v>88573.09581</v>
      </c>
      <c r="I42" s="14">
        <f>'proyección hogares'!K115*'provincia (%)'!K31</f>
        <v>90033.93953</v>
      </c>
      <c r="J42" s="14">
        <f>'proyección hogares'!J115*'provincia (%)'!K31</f>
        <v>91390.88704</v>
      </c>
      <c r="K42" s="14">
        <f>'proyección hogares'!I115*'provincia (%)'!K31</f>
        <v>92722.12286</v>
      </c>
      <c r="L42" s="14">
        <f>'proyección hogares'!H115*'provincia (%)'!K31</f>
        <v>94049.16085</v>
      </c>
      <c r="M42" s="14">
        <f>'proyección hogares'!G115*'provincia (%)'!K31</f>
        <v>95264.43171</v>
      </c>
      <c r="N42" s="14">
        <f>'proyección hogares'!F115*'provincia (%)'!K31</f>
        <v>96449.79305</v>
      </c>
      <c r="O42" s="14">
        <f>'proyección hogares'!E115*'provincia (%)'!K31</f>
        <v>97613.64053</v>
      </c>
      <c r="P42" s="14">
        <f>'proyección hogares'!D115*'provincia (%)'!K31</f>
        <v>98742.3312</v>
      </c>
      <c r="Q42" s="14">
        <f>'proyección hogares'!C115*'provincia (%)'!K31</f>
        <v>99815.9254</v>
      </c>
      <c r="R42" s="14">
        <f>'proyección hogares'!B115*'provincia (%)'!K31</f>
        <v>100794.5438</v>
      </c>
    </row>
    <row r="43" ht="15.0" customHeight="1">
      <c r="A43" s="6" t="s">
        <v>36</v>
      </c>
      <c r="B43" s="7" t="s">
        <v>21</v>
      </c>
      <c r="C43" s="8">
        <f>'proyección hogares'!Q143*'provincia (%)'!K169</f>
        <v>28586.01865</v>
      </c>
      <c r="D43" s="8">
        <f>'proyección hogares'!P143*'provincia (%)'!K169</f>
        <v>29472.53809</v>
      </c>
      <c r="E43" s="8">
        <f>'proyección hogares'!O143*'provincia (%)'!K169</f>
        <v>30348.34957</v>
      </c>
      <c r="F43" s="8">
        <f>'proyección hogares'!N143*'provincia (%)'!K169</f>
        <v>31190.54304</v>
      </c>
      <c r="G43" s="8">
        <f>'proyección hogares'!M143*'provincia (%)'!K169</f>
        <v>31996.8773</v>
      </c>
      <c r="H43" s="8">
        <f>'proyección hogares'!L143*'provincia (%)'!K169</f>
        <v>32765.85821</v>
      </c>
      <c r="I43" s="8">
        <f>'proyección hogares'!K143*'provincia (%)'!K169</f>
        <v>33478.8091</v>
      </c>
      <c r="J43" s="8">
        <f>'proyección hogares'!J143*'provincia (%)'!K169</f>
        <v>34144.44575</v>
      </c>
      <c r="K43" s="8">
        <f>'proyección hogares'!I143*'provincia (%)'!K169</f>
        <v>34780.19972</v>
      </c>
      <c r="L43" s="8">
        <f>'proyección hogares'!H143*'provincia (%)'!K169</f>
        <v>35387.0671</v>
      </c>
      <c r="M43" s="8">
        <f>'proyección hogares'!G143*'provincia (%)'!K169</f>
        <v>35963.05572</v>
      </c>
      <c r="N43" s="8">
        <f>'proyección hogares'!F143*'provincia (%)'!K169</f>
        <v>36528.83442</v>
      </c>
      <c r="O43" s="8">
        <f>'proyección hogares'!E143*'provincia (%)'!K169</f>
        <v>37077.18155</v>
      </c>
      <c r="P43" s="8">
        <f>'proyección hogares'!D143*'provincia (%)'!K169</f>
        <v>37612.33051</v>
      </c>
      <c r="Q43" s="8">
        <f>'proyección hogares'!C143*'provincia (%)'!K169</f>
        <v>38125.81452</v>
      </c>
      <c r="R43" s="8">
        <f>'proyección hogares'!B143*'provincia (%)'!K169</f>
        <v>38615.14337</v>
      </c>
    </row>
    <row r="44" ht="15.0" customHeight="1">
      <c r="A44" s="9"/>
      <c r="B44" s="10" t="s">
        <v>22</v>
      </c>
      <c r="C44" s="11">
        <f>'proyección hogares'!Q143*'provincia (%)'!K170</f>
        <v>16906.33992</v>
      </c>
      <c r="D44" s="11">
        <f>'proyección hogares'!P143*'provincia (%)'!K170</f>
        <v>17430.64515</v>
      </c>
      <c r="E44" s="11">
        <f>'proyección hogares'!O143*'provincia (%)'!K170</f>
        <v>17948.61748</v>
      </c>
      <c r="F44" s="11">
        <f>'proyección hogares'!N143*'provincia (%)'!K170</f>
        <v>18446.70745</v>
      </c>
      <c r="G44" s="11">
        <f>'proyección hogares'!M143*'provincia (%)'!K170</f>
        <v>18923.58956</v>
      </c>
      <c r="H44" s="11">
        <f>'proyección hogares'!L143*'provincia (%)'!K170</f>
        <v>19378.38017</v>
      </c>
      <c r="I44" s="11">
        <f>'proyección hogares'!K143*'provincia (%)'!K170</f>
        <v>19800.0335</v>
      </c>
      <c r="J44" s="11">
        <f>'proyección hogares'!J143*'provincia (%)'!K170</f>
        <v>20193.70425</v>
      </c>
      <c r="K44" s="11">
        <f>'proyección hogares'!I143*'provincia (%)'!K170</f>
        <v>20569.70179</v>
      </c>
      <c r="L44" s="11">
        <f>'proyección hogares'!H143*'provincia (%)'!K170</f>
        <v>20928.61523</v>
      </c>
      <c r="M44" s="11">
        <f>'proyección hogares'!G143*'provincia (%)'!K170</f>
        <v>21269.26636</v>
      </c>
      <c r="N44" s="11">
        <f>'proyección hogares'!F143*'provincia (%)'!K170</f>
        <v>21603.87913</v>
      </c>
      <c r="O44" s="11">
        <f>'proyección hogares'!E143*'provincia (%)'!K170</f>
        <v>21928.18253</v>
      </c>
      <c r="P44" s="11">
        <f>'proyección hogares'!D143*'provincia (%)'!K170</f>
        <v>22244.68027</v>
      </c>
      <c r="Q44" s="11">
        <f>'proyección hogares'!C143*'provincia (%)'!K170</f>
        <v>22548.36493</v>
      </c>
      <c r="R44" s="11">
        <f>'proyección hogares'!B143*'provincia (%)'!K170</f>
        <v>22837.76374</v>
      </c>
    </row>
    <row r="45" ht="15.0" customHeight="1">
      <c r="A45" s="12"/>
      <c r="B45" s="13" t="s">
        <v>23</v>
      </c>
      <c r="C45" s="14">
        <f>'proyección hogares'!Q143*'provincia (%)'!K171</f>
        <v>42858.64769</v>
      </c>
      <c r="D45" s="14">
        <f>'proyección hogares'!P143*'provincia (%)'!K171</f>
        <v>44187.79482</v>
      </c>
      <c r="E45" s="14">
        <f>'proyección hogares'!O143*'provincia (%)'!K171</f>
        <v>45500.88763</v>
      </c>
      <c r="F45" s="14">
        <f>'proyección hogares'!N143*'provincia (%)'!K171</f>
        <v>46763.5774</v>
      </c>
      <c r="G45" s="14">
        <f>'proyección hogares'!M143*'provincia (%)'!K171</f>
        <v>47972.50392</v>
      </c>
      <c r="H45" s="14">
        <f>'proyección hogares'!L143*'provincia (%)'!K171</f>
        <v>49125.42704</v>
      </c>
      <c r="I45" s="14">
        <f>'proyección hogares'!K143*'provincia (%)'!K171</f>
        <v>50194.34508</v>
      </c>
      <c r="J45" s="14">
        <f>'proyección hogares'!J143*'provincia (%)'!K171</f>
        <v>51192.32549</v>
      </c>
      <c r="K45" s="14">
        <f>'proyección hogares'!I143*'provincia (%)'!K171</f>
        <v>52145.50319</v>
      </c>
      <c r="L45" s="14">
        <f>'proyección hogares'!H143*'provincia (%)'!K171</f>
        <v>53055.3716</v>
      </c>
      <c r="M45" s="14">
        <f>'proyección hogares'!G143*'provincia (%)'!K171</f>
        <v>53918.94387</v>
      </c>
      <c r="N45" s="14">
        <f>'proyección hogares'!F143*'provincia (%)'!K171</f>
        <v>54767.20855</v>
      </c>
      <c r="O45" s="14">
        <f>'proyección hogares'!E143*'provincia (%)'!K171</f>
        <v>55589.33832</v>
      </c>
      <c r="P45" s="14">
        <f>'proyección hogares'!D143*'provincia (%)'!K171</f>
        <v>56391.68022</v>
      </c>
      <c r="Q45" s="14">
        <f>'proyección hogares'!C143*'provincia (%)'!K171</f>
        <v>57161.54015</v>
      </c>
      <c r="R45" s="14">
        <f>'proyección hogares'!B143*'provincia (%)'!K171</f>
        <v>57895.18456</v>
      </c>
    </row>
    <row r="46" ht="15.0" customHeight="1">
      <c r="A46" s="6" t="s">
        <v>37</v>
      </c>
      <c r="B46" s="7" t="s">
        <v>21</v>
      </c>
      <c r="C46" s="8">
        <f>'proyección hogares'!Q164*'provincia (%)'!K65</f>
        <v>25305.28316</v>
      </c>
      <c r="D46" s="8">
        <f>'proyección hogares'!P164*'provincia (%)'!K65</f>
        <v>25911.74474</v>
      </c>
      <c r="E46" s="8">
        <f>'proyección hogares'!O164*'provincia (%)'!K65</f>
        <v>26534.37862</v>
      </c>
      <c r="F46" s="8">
        <f>'proyección hogares'!N164*'provincia (%)'!K65</f>
        <v>27151.62174</v>
      </c>
      <c r="G46" s="8">
        <f>'proyección hogares'!M164*'provincia (%)'!K65</f>
        <v>27759.76793</v>
      </c>
      <c r="H46" s="8">
        <f>'proyección hogares'!L164*'provincia (%)'!K65</f>
        <v>28374.98951</v>
      </c>
      <c r="I46" s="8">
        <f>'proyección hogares'!K164*'provincia (%)'!K65</f>
        <v>28964.94186</v>
      </c>
      <c r="J46" s="8">
        <f>'proyección hogares'!J164*'provincia (%)'!K65</f>
        <v>29543.10189</v>
      </c>
      <c r="K46" s="8">
        <f>'proyección hogares'!I164*'provincia (%)'!K65</f>
        <v>30097.00347</v>
      </c>
      <c r="L46" s="8">
        <f>'proyección hogares'!H164*'provincia (%)'!K65</f>
        <v>30647.53581</v>
      </c>
      <c r="M46" s="8">
        <f>'proyección hogares'!G164*'provincia (%)'!K65</f>
        <v>31177.17892</v>
      </c>
      <c r="N46" s="8">
        <f>'proyección hogares'!F164*'provincia (%)'!K65</f>
        <v>31687.61742</v>
      </c>
      <c r="O46" s="8">
        <f>'proyección hogares'!E164*'provincia (%)'!K65</f>
        <v>32189.63283</v>
      </c>
      <c r="P46" s="8">
        <f>'proyección hogares'!D164*'provincia (%)'!K65</f>
        <v>32688.95287</v>
      </c>
      <c r="Q46" s="8">
        <f>'proyección hogares'!C164*'provincia (%)'!K65</f>
        <v>33177.15443</v>
      </c>
      <c r="R46" s="8">
        <f>'proyección hogares'!B164*'provincia (%)'!K65</f>
        <v>33634.696</v>
      </c>
    </row>
    <row r="47" ht="15.0" customHeight="1">
      <c r="A47" s="9"/>
      <c r="B47" s="10" t="s">
        <v>22</v>
      </c>
      <c r="C47" s="11">
        <f>'proyección hogares'!Q164*'provincia (%)'!K66</f>
        <v>15290.55217</v>
      </c>
      <c r="D47" s="11">
        <f>'proyección hogares'!P164*'provincia (%)'!K66</f>
        <v>15657.00262</v>
      </c>
      <c r="E47" s="11">
        <f>'proyección hogares'!O164*'provincia (%)'!K66</f>
        <v>16033.22508</v>
      </c>
      <c r="F47" s="11">
        <f>'proyección hogares'!N164*'provincia (%)'!K66</f>
        <v>16406.1902</v>
      </c>
      <c r="G47" s="11">
        <f>'proyección hogares'!M164*'provincia (%)'!K66</f>
        <v>16773.65857</v>
      </c>
      <c r="H47" s="11">
        <f>'proyección hogares'!L164*'provincia (%)'!K66</f>
        <v>17145.40219</v>
      </c>
      <c r="I47" s="11">
        <f>'proyección hogares'!K164*'provincia (%)'!K66</f>
        <v>17501.87705</v>
      </c>
      <c r="J47" s="11">
        <f>'proyección hogares'!J164*'provincia (%)'!K66</f>
        <v>17851.22648</v>
      </c>
      <c r="K47" s="11">
        <f>'proyección hogares'!I164*'provincia (%)'!K66</f>
        <v>18185.91789</v>
      </c>
      <c r="L47" s="11">
        <f>'proyección hogares'!H164*'provincia (%)'!K66</f>
        <v>18518.57346</v>
      </c>
      <c r="M47" s="11">
        <f>'proyección hogares'!G164*'provincia (%)'!K66</f>
        <v>18838.60685</v>
      </c>
      <c r="N47" s="11">
        <f>'proyección hogares'!F164*'provincia (%)'!K66</f>
        <v>19147.03598</v>
      </c>
      <c r="O47" s="11">
        <f>'proyección hogares'!E164*'provincia (%)'!K66</f>
        <v>19450.37552</v>
      </c>
      <c r="P47" s="11">
        <f>'proyección hogares'!D164*'provincia (%)'!K66</f>
        <v>19752.08639</v>
      </c>
      <c r="Q47" s="11">
        <f>'proyección hogares'!C164*'provincia (%)'!K66</f>
        <v>20047.079</v>
      </c>
      <c r="R47" s="11">
        <f>'proyección hogares'!B164*'provincia (%)'!K66</f>
        <v>20323.54551</v>
      </c>
    </row>
    <row r="48" ht="15.0" customHeight="1">
      <c r="A48" s="12"/>
      <c r="B48" s="13" t="s">
        <v>23</v>
      </c>
      <c r="C48" s="14">
        <f>'proyección hogares'!Q164*'provincia (%)'!K67</f>
        <v>34648.46024</v>
      </c>
      <c r="D48" s="14">
        <f>'proyección hogares'!P164*'provincia (%)'!K67</f>
        <v>35478.83861</v>
      </c>
      <c r="E48" s="14">
        <f>'proyección hogares'!O164*'provincia (%)'!K67</f>
        <v>36331.3604</v>
      </c>
      <c r="F48" s="14">
        <f>'proyección hogares'!N164*'provincia (%)'!K67</f>
        <v>37176.50106</v>
      </c>
      <c r="G48" s="14">
        <f>'proyección hogares'!M164*'provincia (%)'!K67</f>
        <v>38009.18604</v>
      </c>
      <c r="H48" s="14">
        <f>'proyección hogares'!L164*'provincia (%)'!K67</f>
        <v>38851.55876</v>
      </c>
      <c r="I48" s="14">
        <f>'proyección hogares'!K164*'provincia (%)'!K67</f>
        <v>39659.33239</v>
      </c>
      <c r="J48" s="14">
        <f>'proyección hogares'!J164*'provincia (%)'!K67</f>
        <v>40450.95977</v>
      </c>
      <c r="K48" s="14">
        <f>'proyección hogares'!I164*'provincia (%)'!K67</f>
        <v>41209.37202</v>
      </c>
      <c r="L48" s="14">
        <f>'proyección hogares'!H164*'provincia (%)'!K67</f>
        <v>41963.17105</v>
      </c>
      <c r="M48" s="14">
        <f>'proyección hogares'!G164*'provincia (%)'!K67</f>
        <v>42688.36817</v>
      </c>
      <c r="N48" s="14">
        <f>'proyección hogares'!F164*'provincia (%)'!K67</f>
        <v>43387.26996</v>
      </c>
      <c r="O48" s="14">
        <f>'proyección hogares'!E164*'provincia (%)'!K67</f>
        <v>44074.63873</v>
      </c>
      <c r="P48" s="14">
        <f>'proyección hogares'!D164*'provincia (%)'!K67</f>
        <v>44758.31692</v>
      </c>
      <c r="Q48" s="14">
        <f>'proyección hogares'!C164*'provincia (%)'!K67</f>
        <v>45426.77151</v>
      </c>
      <c r="R48" s="14">
        <f>'proyección hogares'!B164*'provincia (%)'!K67</f>
        <v>46053.24586</v>
      </c>
    </row>
    <row r="49" ht="15.0" customHeight="1">
      <c r="A49" s="6" t="s">
        <v>37</v>
      </c>
      <c r="B49" s="7" t="s">
        <v>21</v>
      </c>
      <c r="C49" s="8">
        <f>'proyección hogares'!Q164*'provincia (%)'!K65</f>
        <v>25305.28316</v>
      </c>
      <c r="D49" s="8">
        <f>'proyección hogares'!P164*'provincia (%)'!K65</f>
        <v>25911.74474</v>
      </c>
      <c r="E49" s="8">
        <f>'proyección hogares'!O164*'provincia (%)'!K65</f>
        <v>26534.37862</v>
      </c>
      <c r="F49" s="8">
        <f>'proyección hogares'!N164*'provincia (%)'!K65</f>
        <v>27151.62174</v>
      </c>
      <c r="G49" s="8">
        <f>'proyección hogares'!M164*'provincia (%)'!K65</f>
        <v>27759.76793</v>
      </c>
      <c r="H49" s="8">
        <f>'proyección hogares'!L164*'provincia (%)'!K65</f>
        <v>28374.98951</v>
      </c>
      <c r="I49" s="8">
        <f>'proyección hogares'!K164*'provincia (%)'!K65</f>
        <v>28964.94186</v>
      </c>
      <c r="J49" s="8">
        <f>'proyección hogares'!J164*'provincia (%)'!K65</f>
        <v>29543.10189</v>
      </c>
      <c r="K49" s="8">
        <f>'proyección hogares'!I164*'provincia (%)'!K65</f>
        <v>30097.00347</v>
      </c>
      <c r="L49" s="8">
        <f>'proyección hogares'!H164*'provincia (%)'!K65</f>
        <v>30647.53581</v>
      </c>
      <c r="M49" s="8">
        <f>'proyección hogares'!G164*'provincia (%)'!K65</f>
        <v>31177.17892</v>
      </c>
      <c r="N49" s="8">
        <f>'proyección hogares'!F164*'provincia (%)'!K65</f>
        <v>31687.61742</v>
      </c>
      <c r="O49" s="8">
        <f>'proyección hogares'!E164*'provincia (%)'!K65</f>
        <v>32189.63283</v>
      </c>
      <c r="P49" s="8">
        <f>'proyección hogares'!D164*'provincia (%)'!K65</f>
        <v>32688.95287</v>
      </c>
      <c r="Q49" s="8">
        <f>'proyección hogares'!C164*'provincia (%)'!K65</f>
        <v>33177.15443</v>
      </c>
      <c r="R49" s="8">
        <f>'proyección hogares'!B164*'provincia (%)'!K65</f>
        <v>33634.696</v>
      </c>
    </row>
    <row r="50" ht="15.0" customHeight="1">
      <c r="A50" s="9"/>
      <c r="B50" s="10" t="s">
        <v>22</v>
      </c>
      <c r="C50" s="11">
        <f>'proyección hogares'!Q164*'provincia (%)'!K66</f>
        <v>15290.55217</v>
      </c>
      <c r="D50" s="11">
        <f>'proyección hogares'!P164*'provincia (%)'!K66</f>
        <v>15657.00262</v>
      </c>
      <c r="E50" s="11">
        <f>'proyección hogares'!O164*'provincia (%)'!K66</f>
        <v>16033.22508</v>
      </c>
      <c r="F50" s="11">
        <f>'proyección hogares'!N164*'provincia (%)'!K66</f>
        <v>16406.1902</v>
      </c>
      <c r="G50" s="11">
        <f>'proyección hogares'!M164*'provincia (%)'!K66</f>
        <v>16773.65857</v>
      </c>
      <c r="H50" s="11">
        <f>'proyección hogares'!L164*'provincia (%)'!K66</f>
        <v>17145.40219</v>
      </c>
      <c r="I50" s="11">
        <f>'proyección hogares'!K164*'provincia (%)'!K66</f>
        <v>17501.87705</v>
      </c>
      <c r="J50" s="11">
        <f>'proyección hogares'!J164*'provincia (%)'!K66</f>
        <v>17851.22648</v>
      </c>
      <c r="K50" s="11">
        <f>'proyección hogares'!I164*'provincia (%)'!K66</f>
        <v>18185.91789</v>
      </c>
      <c r="L50" s="11">
        <f>'proyección hogares'!H164*'provincia (%)'!K66</f>
        <v>18518.57346</v>
      </c>
      <c r="M50" s="11">
        <f>'proyección hogares'!G164*'provincia (%)'!K66</f>
        <v>18838.60685</v>
      </c>
      <c r="N50" s="11">
        <f>'proyección hogares'!F164*'provincia (%)'!K66</f>
        <v>19147.03598</v>
      </c>
      <c r="O50" s="11">
        <f>'proyección hogares'!E164*'provincia (%)'!K66</f>
        <v>19450.37552</v>
      </c>
      <c r="P50" s="11">
        <f>'proyección hogares'!D164*'provincia (%)'!K66</f>
        <v>19752.08639</v>
      </c>
      <c r="Q50" s="11">
        <f>'proyección hogares'!C164*'provincia (%)'!K66</f>
        <v>20047.079</v>
      </c>
      <c r="R50" s="11">
        <f>'proyección hogares'!B164*'provincia (%)'!K66</f>
        <v>20323.54551</v>
      </c>
    </row>
    <row r="51" ht="15.0" customHeight="1">
      <c r="A51" s="12"/>
      <c r="B51" s="13" t="s">
        <v>23</v>
      </c>
      <c r="C51" s="14">
        <f>'proyección hogares'!Q164*'provincia (%)'!K67</f>
        <v>34648.46024</v>
      </c>
      <c r="D51" s="14">
        <f>'proyección hogares'!P164*'provincia (%)'!K67</f>
        <v>35478.83861</v>
      </c>
      <c r="E51" s="14">
        <f>'proyección hogares'!O164*'provincia (%)'!K67</f>
        <v>36331.3604</v>
      </c>
      <c r="F51" s="14">
        <f>'proyección hogares'!N164*'provincia (%)'!K67</f>
        <v>37176.50106</v>
      </c>
      <c r="G51" s="14">
        <f>'proyección hogares'!M164*'provincia (%)'!K67</f>
        <v>38009.18604</v>
      </c>
      <c r="H51" s="14">
        <f>'proyección hogares'!L164*'provincia (%)'!K67</f>
        <v>38851.55876</v>
      </c>
      <c r="I51" s="14">
        <f>'proyección hogares'!K164*'provincia (%)'!K67</f>
        <v>39659.33239</v>
      </c>
      <c r="J51" s="14">
        <f>'proyección hogares'!J164*'provincia (%)'!K67</f>
        <v>40450.95977</v>
      </c>
      <c r="K51" s="14">
        <f>'proyección hogares'!I164*'provincia (%)'!K67</f>
        <v>41209.37202</v>
      </c>
      <c r="L51" s="14">
        <f>'proyección hogares'!H164*'provincia (%)'!K67</f>
        <v>41963.17105</v>
      </c>
      <c r="M51" s="14">
        <f>'proyección hogares'!G164*'provincia (%)'!K67</f>
        <v>42688.36817</v>
      </c>
      <c r="N51" s="14">
        <f>'proyección hogares'!F164*'provincia (%)'!K67</f>
        <v>43387.26996</v>
      </c>
      <c r="O51" s="14">
        <f>'proyección hogares'!E164*'provincia (%)'!K67</f>
        <v>44074.63873</v>
      </c>
      <c r="P51" s="14">
        <f>'proyección hogares'!D164*'provincia (%)'!K67</f>
        <v>44758.31692</v>
      </c>
      <c r="Q51" s="14">
        <f>'proyección hogares'!C164*'provincia (%)'!K67</f>
        <v>45426.77151</v>
      </c>
      <c r="R51" s="14">
        <f>'proyección hogares'!B164*'provincia (%)'!K67</f>
        <v>46053.24586</v>
      </c>
    </row>
    <row r="52" ht="15.0" customHeight="1">
      <c r="A52" s="6" t="s">
        <v>38</v>
      </c>
      <c r="B52" s="7" t="s">
        <v>21</v>
      </c>
      <c r="C52" s="8">
        <f>'proyección hogares'!Q178*'provincia (%)'!K101</f>
        <v>7414.978791</v>
      </c>
      <c r="D52" s="8">
        <f>'proyección hogares'!P178*'provincia (%)'!K101</f>
        <v>7669.916219</v>
      </c>
      <c r="E52" s="8">
        <f>'proyección hogares'!O178*'provincia (%)'!K101</f>
        <v>7927.577821</v>
      </c>
      <c r="F52" s="8">
        <f>'proyección hogares'!N178*'provincia (%)'!K101</f>
        <v>8189.325687</v>
      </c>
      <c r="G52" s="8">
        <f>'proyección hogares'!M178*'provincia (%)'!K101</f>
        <v>8447.895348</v>
      </c>
      <c r="H52" s="8">
        <f>'proyección hogares'!L178*'provincia (%)'!K101</f>
        <v>8710.551273</v>
      </c>
      <c r="I52" s="8">
        <f>'proyección hogares'!K178*'provincia (%)'!K101</f>
        <v>8962.310495</v>
      </c>
      <c r="J52" s="8">
        <f>'proyección hogares'!J178*'provincia (%)'!K101</f>
        <v>9213.388674</v>
      </c>
      <c r="K52" s="8">
        <f>'proyección hogares'!I178*'provincia (%)'!K101</f>
        <v>9454.024179</v>
      </c>
      <c r="L52" s="8">
        <f>'proyección hogares'!H178*'provincia (%)'!K101</f>
        <v>9694.43267</v>
      </c>
      <c r="M52" s="8">
        <f>'proyección hogares'!G178*'provincia (%)'!K101</f>
        <v>9928.484752</v>
      </c>
      <c r="N52" s="8">
        <f>'proyección hogares'!F178*'provincia (%)'!K101</f>
        <v>10160.72072</v>
      </c>
      <c r="O52" s="8">
        <f>'proyección hogares'!E178*'provincia (%)'!K101</f>
        <v>10394.09175</v>
      </c>
      <c r="P52" s="8">
        <f>'proyección hogares'!D178*'provincia (%)'!K101</f>
        <v>10628.14383</v>
      </c>
      <c r="Q52" s="8">
        <f>'proyección hogares'!C178*'provincia (%)'!K101</f>
        <v>10853.79637</v>
      </c>
      <c r="R52" s="8">
        <f>'proyección hogares'!B178*'provincia (%)'!K101</f>
        <v>11075.81668</v>
      </c>
    </row>
    <row r="53" ht="15.0" customHeight="1">
      <c r="A53" s="9"/>
      <c r="B53" s="10" t="s">
        <v>22</v>
      </c>
      <c r="C53" s="11">
        <f>'proyección hogares'!Q178*'provincia (%)'!K102</f>
        <v>4402.38701</v>
      </c>
      <c r="D53" s="11">
        <f>'proyección hogares'!P178*'provincia (%)'!K102</f>
        <v>4553.747284</v>
      </c>
      <c r="E53" s="11">
        <f>'proyección hogares'!O178*'provincia (%)'!K102</f>
        <v>4706.724942</v>
      </c>
      <c r="F53" s="11">
        <f>'proyección hogares'!N178*'provincia (%)'!K102</f>
        <v>4862.128678</v>
      </c>
      <c r="G53" s="11">
        <f>'proyección hogares'!M178*'provincia (%)'!K102</f>
        <v>5015.645465</v>
      </c>
      <c r="H53" s="11">
        <f>'proyección hogares'!L178*'provincia (%)'!K102</f>
        <v>5171.588329</v>
      </c>
      <c r="I53" s="11">
        <f>'proyección hogares'!K178*'provincia (%)'!K102</f>
        <v>5321.061653</v>
      </c>
      <c r="J53" s="11">
        <f>'proyección hogares'!J178*'provincia (%)'!K102</f>
        <v>5470.130631</v>
      </c>
      <c r="K53" s="11">
        <f>'proyección hogares'!I178*'provincia (%)'!K102</f>
        <v>5612.999634</v>
      </c>
      <c r="L53" s="11">
        <f>'proyección hogares'!H178*'provincia (%)'!K102</f>
        <v>5755.733854</v>
      </c>
      <c r="M53" s="11">
        <f>'proyección hogares'!G178*'provincia (%)'!K102</f>
        <v>5894.694177</v>
      </c>
      <c r="N53" s="11">
        <f>'proyección hogares'!F178*'provincia (%)'!K102</f>
        <v>6032.576242</v>
      </c>
      <c r="O53" s="11">
        <f>'proyección hogares'!E178*'provincia (%)'!K102</f>
        <v>6171.132218</v>
      </c>
      <c r="P53" s="11">
        <f>'proyección hogares'!D178*'provincia (%)'!K102</f>
        <v>6310.092541</v>
      </c>
      <c r="Q53" s="11">
        <f>'proyección hogares'!C178*'provincia (%)'!K102</f>
        <v>6444.065926</v>
      </c>
      <c r="R53" s="11">
        <f>'proyección hogares'!B178*'provincia (%)'!K102</f>
        <v>6575.882798</v>
      </c>
    </row>
    <row r="54" ht="15.0" customHeight="1">
      <c r="A54" s="12"/>
      <c r="B54" s="13" t="s">
        <v>23</v>
      </c>
      <c r="C54" s="14">
        <f>'proyección hogares'!Q178*'provincia (%)'!K103</f>
        <v>12245.02634</v>
      </c>
      <c r="D54" s="14">
        <f>'proyección hogares'!P178*'provincia (%)'!K103</f>
        <v>12666.02762</v>
      </c>
      <c r="E54" s="14">
        <f>'proyección hogares'!O178*'provincia (%)'!K103</f>
        <v>13091.52757</v>
      </c>
      <c r="F54" s="14">
        <f>'proyección hogares'!N178*'provincia (%)'!K103</f>
        <v>13523.77554</v>
      </c>
      <c r="G54" s="14">
        <f>'proyección hogares'!M178*'provincia (%)'!K103</f>
        <v>13950.77505</v>
      </c>
      <c r="H54" s="14">
        <f>'proyección hogares'!L178*'provincia (%)'!K103</f>
        <v>14384.52257</v>
      </c>
      <c r="I54" s="14">
        <f>'proyección hogares'!K178*'provincia (%)'!K103</f>
        <v>14800.27539</v>
      </c>
      <c r="J54" s="14">
        <f>'proyección hogares'!J178*'provincia (%)'!K103</f>
        <v>15214.90354</v>
      </c>
      <c r="K54" s="14">
        <f>'proyección hogares'!I178*'provincia (%)'!K103</f>
        <v>15612.28675</v>
      </c>
      <c r="L54" s="14">
        <f>'proyección hogares'!H178*'provincia (%)'!K103</f>
        <v>16009.29507</v>
      </c>
      <c r="M54" s="14">
        <f>'proyección hogares'!G178*'provincia (%)'!K103</f>
        <v>16395.80648</v>
      </c>
      <c r="N54" s="14">
        <f>'proyección hogares'!F178*'provincia (%)'!K103</f>
        <v>16779.31877</v>
      </c>
      <c r="O54" s="14">
        <f>'proyección hogares'!E178*'provincia (%)'!K103</f>
        <v>17164.70551</v>
      </c>
      <c r="P54" s="14">
        <f>'proyección hogares'!D178*'provincia (%)'!K103</f>
        <v>17551.21692</v>
      </c>
      <c r="Q54" s="14">
        <f>'proyección hogares'!C178*'provincia (%)'!K103</f>
        <v>17923.85741</v>
      </c>
      <c r="R54" s="14">
        <f>'proyección hogares'!B178*'provincia (%)'!K103</f>
        <v>18290.49966</v>
      </c>
    </row>
    <row r="55" ht="15.0" customHeight="1">
      <c r="A55" s="6" t="s">
        <v>39</v>
      </c>
      <c r="B55" s="7" t="s">
        <v>21</v>
      </c>
      <c r="C55" s="8">
        <f>'proyección hogares'!Q185*'provincia (%)'!K73</f>
        <v>23456.84848</v>
      </c>
      <c r="D55" s="8">
        <f>'proyección hogares'!P185*'provincia (%)'!K73</f>
        <v>24157.68962</v>
      </c>
      <c r="E55" s="8">
        <f>'proyección hogares'!O185*'provincia (%)'!K73</f>
        <v>24850.81136</v>
      </c>
      <c r="F55" s="8">
        <f>'proyección hogares'!N185*'provincia (%)'!K73</f>
        <v>25496.39779</v>
      </c>
      <c r="G55" s="8">
        <f>'proyección hogares'!M185*'provincia (%)'!K73</f>
        <v>26170.83043</v>
      </c>
      <c r="H55" s="8">
        <f>'proyección hogares'!L185*'provincia (%)'!K73</f>
        <v>26870.859</v>
      </c>
      <c r="I55" s="8">
        <f>'proyección hogares'!K185*'provincia (%)'!K73</f>
        <v>27516.03914</v>
      </c>
      <c r="J55" s="8">
        <f>'proyección hogares'!J185*'provincia (%)'!K73</f>
        <v>28120.9971</v>
      </c>
      <c r="K55" s="8">
        <f>'proyección hogares'!I185*'provincia (%)'!K73</f>
        <v>28693.45227</v>
      </c>
      <c r="L55" s="8">
        <f>'proyección hogares'!H185*'provincia (%)'!K73</f>
        <v>29285.40911</v>
      </c>
      <c r="M55" s="8">
        <f>'proyección hogares'!G185*'provincia (%)'!K73</f>
        <v>29842.83175</v>
      </c>
      <c r="N55" s="8">
        <f>'proyección hogares'!F185*'provincia (%)'!K73</f>
        <v>30365.72019</v>
      </c>
      <c r="O55" s="8">
        <f>'proyección hogares'!E185*'provincia (%)'!K73</f>
        <v>30886.98349</v>
      </c>
      <c r="P55" s="8">
        <f>'proyección hogares'!D185*'provincia (%)'!K73</f>
        <v>31415.55991</v>
      </c>
      <c r="Q55" s="8">
        <f>'proyección hogares'!C185*'provincia (%)'!K73</f>
        <v>31946.98033</v>
      </c>
      <c r="R55" s="8">
        <f>'proyección hogares'!B185*'provincia (%)'!K73</f>
        <v>32458.4928</v>
      </c>
    </row>
    <row r="56" ht="15.0" customHeight="1">
      <c r="A56" s="9"/>
      <c r="B56" s="10" t="s">
        <v>22</v>
      </c>
      <c r="C56" s="11">
        <f>'proyección hogares'!Q185*'provincia (%)'!K74</f>
        <v>12629.67778</v>
      </c>
      <c r="D56" s="11">
        <f>'proyección hogares'!P185*'provincia (%)'!K74</f>
        <v>13007.02591</v>
      </c>
      <c r="E56" s="11">
        <f>'proyección hogares'!O185*'provincia (%)'!K74</f>
        <v>13380.21774</v>
      </c>
      <c r="F56" s="11">
        <f>'proyección hogares'!N185*'provincia (%)'!K74</f>
        <v>13727.81552</v>
      </c>
      <c r="G56" s="11">
        <f>'proyección hogares'!M185*'provincia (%)'!K74</f>
        <v>14090.94473</v>
      </c>
      <c r="H56" s="11">
        <f>'proyección hogares'!L185*'provincia (%)'!K74</f>
        <v>14467.85536</v>
      </c>
      <c r="I56" s="11">
        <f>'proyección hogares'!K185*'provincia (%)'!K74</f>
        <v>14815.23439</v>
      </c>
      <c r="J56" s="11">
        <f>'proyección hogares'!J185*'provincia (%)'!K74</f>
        <v>15140.95692</v>
      </c>
      <c r="K56" s="11">
        <f>'proyección hogares'!I185*'provincia (%)'!K74</f>
        <v>15449.17924</v>
      </c>
      <c r="L56" s="11">
        <f>'proyección hogares'!H185*'provincia (%)'!K74</f>
        <v>15767.90169</v>
      </c>
      <c r="M56" s="11">
        <f>'proyección hogares'!G185*'provincia (%)'!K74</f>
        <v>16068.03017</v>
      </c>
      <c r="N56" s="11">
        <f>'proyección hogares'!F185*'provincia (%)'!K74</f>
        <v>16349.56469</v>
      </c>
      <c r="O56" s="11">
        <f>'proyección hogares'!E185*'provincia (%)'!K74</f>
        <v>16630.22419</v>
      </c>
      <c r="P56" s="11">
        <f>'proyección hogares'!D185*'provincia (%)'!K74</f>
        <v>16914.82125</v>
      </c>
      <c r="Q56" s="11">
        <f>'proyección hogares'!C185*'provincia (%)'!K74</f>
        <v>17200.94957</v>
      </c>
      <c r="R56" s="11">
        <f>'proyección hogares'!B185*'provincia (%)'!K74</f>
        <v>17476.35901</v>
      </c>
    </row>
    <row r="57" ht="15.0" customHeight="1">
      <c r="A57" s="12"/>
      <c r="B57" s="13" t="s">
        <v>23</v>
      </c>
      <c r="C57" s="14">
        <f>'proyección hogares'!Q185*'provincia (%)'!K75</f>
        <v>33455.26038</v>
      </c>
      <c r="D57" s="14">
        <f>'proyección hogares'!P185*'provincia (%)'!K75</f>
        <v>34454.83298</v>
      </c>
      <c r="E57" s="14">
        <f>'proyección hogares'!O185*'provincia (%)'!K75</f>
        <v>35443.39579</v>
      </c>
      <c r="F57" s="14">
        <f>'proyección hogares'!N185*'provincia (%)'!K75</f>
        <v>36364.16151</v>
      </c>
      <c r="G57" s="14">
        <f>'proyección hogares'!M185*'provincia (%)'!K75</f>
        <v>37326.06906</v>
      </c>
      <c r="H57" s="14">
        <f>'proyección hogares'!L185*'provincia (%)'!K75</f>
        <v>38324.48274</v>
      </c>
      <c r="I57" s="14">
        <f>'proyección hogares'!K185*'provincia (%)'!K75</f>
        <v>39244.66899</v>
      </c>
      <c r="J57" s="14">
        <f>'proyección hogares'!J185*'provincia (%)'!K75</f>
        <v>40107.48847</v>
      </c>
      <c r="K57" s="14">
        <f>'proyección hogares'!I185*'provincia (%)'!K75</f>
        <v>40923.95096</v>
      </c>
      <c r="L57" s="14">
        <f>'proyección hogares'!H185*'provincia (%)'!K75</f>
        <v>41768.22765</v>
      </c>
      <c r="M57" s="14">
        <f>'proyección hogares'!G185*'provincia (%)'!K75</f>
        <v>42563.25003</v>
      </c>
      <c r="N57" s="14">
        <f>'proyección hogares'!F185*'provincia (%)'!K75</f>
        <v>43309.01811</v>
      </c>
      <c r="O57" s="14">
        <f>'proyección hogares'!E185*'provincia (%)'!K75</f>
        <v>44052.46834</v>
      </c>
      <c r="P57" s="14">
        <f>'proyección hogares'!D185*'provincia (%)'!K75</f>
        <v>44806.34889</v>
      </c>
      <c r="Q57" s="14">
        <f>'proyección hogares'!C185*'provincia (%)'!K75</f>
        <v>45564.28568</v>
      </c>
      <c r="R57" s="14">
        <f>'proyección hogares'!B185*'provincia (%)'!K75</f>
        <v>46293.82882</v>
      </c>
    </row>
    <row r="58" ht="15.0" customHeight="1">
      <c r="A58" s="6" t="s">
        <v>40</v>
      </c>
      <c r="B58" s="7" t="s">
        <v>21</v>
      </c>
      <c r="C58" s="8">
        <f>'proyección hogares'!Q192*'provincia (%)'!K13</f>
        <v>18214.46559</v>
      </c>
      <c r="D58" s="8">
        <f>'proyección hogares'!P192*'provincia (%)'!K13</f>
        <v>18809.36301</v>
      </c>
      <c r="E58" s="8">
        <f>'proyección hogares'!O192*'provincia (%)'!K13</f>
        <v>19380.15925</v>
      </c>
      <c r="F58" s="8">
        <f>'proyección hogares'!N192*'provincia (%)'!K13</f>
        <v>19943.32345</v>
      </c>
      <c r="G58" s="8">
        <f>'proyección hogares'!M192*'provincia (%)'!K13</f>
        <v>20500.86404</v>
      </c>
      <c r="H58" s="8">
        <f>'proyección hogares'!L192*'provincia (%)'!K13</f>
        <v>21071.66029</v>
      </c>
      <c r="I58" s="8">
        <f>'proyección hogares'!K192*'provincia (%)'!K13</f>
        <v>21606.70645</v>
      </c>
      <c r="J58" s="8">
        <f>'proyección hogares'!J192*'provincia (%)'!K13</f>
        <v>22120.06155</v>
      </c>
      <c r="K58" s="8">
        <f>'proyección hogares'!I192*'provincia (%)'!K13</f>
        <v>22604.09355</v>
      </c>
      <c r="L58" s="8">
        <f>'proyección hogares'!H192*'provincia (%)'!K13</f>
        <v>23083.707</v>
      </c>
      <c r="M58" s="8">
        <f>'proyección hogares'!G192*'provincia (%)'!K13</f>
        <v>23546.44962</v>
      </c>
      <c r="N58" s="8">
        <f>'proyección hogares'!F192*'provincia (%)'!K13</f>
        <v>23999.15009</v>
      </c>
      <c r="O58" s="8">
        <f>'proyección hogares'!E192*'provincia (%)'!K13</f>
        <v>24449.44044</v>
      </c>
      <c r="P58" s="8">
        <f>'proyección hogares'!D192*'provincia (%)'!K13</f>
        <v>24881.65491</v>
      </c>
      <c r="Q58" s="8">
        <f>'proyección hogares'!C192*'provincia (%)'!K13</f>
        <v>25315.87781</v>
      </c>
      <c r="R58" s="8">
        <f>'proyección hogares'!B192*'provincia (%)'!K13</f>
        <v>25738.85349</v>
      </c>
    </row>
    <row r="59" ht="15.0" customHeight="1">
      <c r="A59" s="9"/>
      <c r="B59" s="10" t="s">
        <v>22</v>
      </c>
      <c r="C59" s="11">
        <f>'proyección hogares'!Q192*'provincia (%)'!K14</f>
        <v>11581.43751</v>
      </c>
      <c r="D59" s="11">
        <f>'proyección hogares'!P192*'provincia (%)'!K14</f>
        <v>11959.6955</v>
      </c>
      <c r="E59" s="11">
        <f>'proyección hogares'!O192*'provincia (%)'!K14</f>
        <v>12322.62907</v>
      </c>
      <c r="F59" s="11">
        <f>'proyección hogares'!N192*'provincia (%)'!K14</f>
        <v>12680.70991</v>
      </c>
      <c r="G59" s="11">
        <f>'proyección hogares'!M192*'provincia (%)'!K14</f>
        <v>13035.21504</v>
      </c>
      <c r="H59" s="11">
        <f>'proyección hogares'!L192*'provincia (%)'!K14</f>
        <v>13398.14861</v>
      </c>
      <c r="I59" s="11">
        <f>'proyección hogares'!K192*'provincia (%)'!K14</f>
        <v>13738.35094</v>
      </c>
      <c r="J59" s="11">
        <f>'proyección hogares'!J192*'provincia (%)'!K14</f>
        <v>14064.76129</v>
      </c>
      <c r="K59" s="11">
        <f>'proyección hogares'!I192*'provincia (%)'!K14</f>
        <v>14372.52691</v>
      </c>
      <c r="L59" s="11">
        <f>'proyección hogares'!H192*'provincia (%)'!K14</f>
        <v>14677.48306</v>
      </c>
      <c r="M59" s="11">
        <f>'proyección hogares'!G192*'provincia (%)'!K14</f>
        <v>14971.7121</v>
      </c>
      <c r="N59" s="11">
        <f>'proyección hogares'!F192*'provincia (%)'!K14</f>
        <v>15259.55597</v>
      </c>
      <c r="O59" s="11">
        <f>'proyección hogares'!E192*'provincia (%)'!K14</f>
        <v>15545.86739</v>
      </c>
      <c r="P59" s="11">
        <f>'proyección hogares'!D192*'provincia (%)'!K14</f>
        <v>15820.68549</v>
      </c>
      <c r="Q59" s="11">
        <f>'proyección hogares'!C192*'provincia (%)'!K14</f>
        <v>16096.78062</v>
      </c>
      <c r="R59" s="11">
        <f>'proyección hogares'!B192*'provincia (%)'!K14</f>
        <v>16365.72436</v>
      </c>
    </row>
    <row r="60" ht="15.0" customHeight="1">
      <c r="A60" s="12"/>
      <c r="B60" s="13" t="s">
        <v>23</v>
      </c>
      <c r="C60" s="14">
        <f>'proyección hogares'!Q192*'provincia (%)'!K15</f>
        <v>24901.81631</v>
      </c>
      <c r="D60" s="14">
        <f>'proyección hogares'!P192*'provincia (%)'!K15</f>
        <v>25715.12737</v>
      </c>
      <c r="E60" s="14">
        <f>'proyección hogares'!O192*'provincia (%)'!K15</f>
        <v>26495.48862</v>
      </c>
      <c r="F60" s="14">
        <f>'proyección hogares'!N192*'provincia (%)'!K15</f>
        <v>27265.41577</v>
      </c>
      <c r="G60" s="14">
        <f>'proyección hogares'!M192*'provincia (%)'!K15</f>
        <v>28027.65462</v>
      </c>
      <c r="H60" s="14">
        <f>'proyección hogares'!L192*'provincia (%)'!K15</f>
        <v>28808.01588</v>
      </c>
      <c r="I60" s="14">
        <f>'proyección hogares'!K192*'provincia (%)'!K15</f>
        <v>29539.50158</v>
      </c>
      <c r="J60" s="14">
        <f>'proyección hogares'!J192*'provincia (%)'!K15</f>
        <v>30241.33246</v>
      </c>
      <c r="K60" s="14">
        <f>'proyección hogares'!I192*'provincia (%)'!K15</f>
        <v>30903.07441</v>
      </c>
      <c r="L60" s="14">
        <f>'proyección hogares'!H192*'provincia (%)'!K15</f>
        <v>31558.77556</v>
      </c>
      <c r="M60" s="14">
        <f>'proyección hogares'!G192*'provincia (%)'!K15</f>
        <v>32191.41185</v>
      </c>
      <c r="N60" s="14">
        <f>'proyección hogares'!F192*'provincia (%)'!K15</f>
        <v>32810.31905</v>
      </c>
      <c r="O60" s="14">
        <f>'proyección hogares'!E192*'provincia (%)'!K15</f>
        <v>33425.93127</v>
      </c>
      <c r="P60" s="14">
        <f>'proyección hogares'!D192*'provincia (%)'!K15</f>
        <v>34016.83113</v>
      </c>
      <c r="Q60" s="14">
        <f>'proyección hogares'!C192*'provincia (%)'!K15</f>
        <v>34610.47681</v>
      </c>
      <c r="R60" s="14">
        <f>'proyección hogares'!B192*'provincia (%)'!K15</f>
        <v>35188.74592</v>
      </c>
    </row>
    <row r="61" ht="15.0" customHeight="1">
      <c r="A61" s="6" t="s">
        <v>41</v>
      </c>
      <c r="B61" s="7" t="s">
        <v>21</v>
      </c>
      <c r="C61" s="8">
        <f>'proyección hogares'!Q199*'provincia (%)'!K193</f>
        <v>28996.4479</v>
      </c>
      <c r="D61" s="8">
        <f>'proyección hogares'!P199*'provincia (%)'!K193</f>
        <v>30051.45047</v>
      </c>
      <c r="E61" s="8">
        <f>'proyección hogares'!O199*'provincia (%)'!K193</f>
        <v>31101.14199</v>
      </c>
      <c r="F61" s="8">
        <f>'proyección hogares'!N199*'provincia (%)'!K193</f>
        <v>32141.72885</v>
      </c>
      <c r="G61" s="8">
        <f>'proyección hogares'!M199*'provincia (%)'!K193</f>
        <v>33205.83608</v>
      </c>
      <c r="H61" s="8">
        <f>'proyección hogares'!L199*'provincia (%)'!K193</f>
        <v>34292.70497</v>
      </c>
      <c r="I61" s="8">
        <f>'proyección hogares'!K199*'provincia (%)'!K193</f>
        <v>35328.7395</v>
      </c>
      <c r="J61" s="8">
        <f>'proyección hogares'!J199*'provincia (%)'!K193</f>
        <v>36315.83647</v>
      </c>
      <c r="K61" s="8">
        <f>'proyección hogares'!I199*'provincia (%)'!K193</f>
        <v>37289.27646</v>
      </c>
      <c r="L61" s="8">
        <f>'proyección hogares'!H199*'provincia (%)'!K193</f>
        <v>38272.57983</v>
      </c>
      <c r="M61" s="8">
        <f>'proyección hogares'!G199*'provincia (%)'!K193</f>
        <v>39212.63606</v>
      </c>
      <c r="N61" s="8">
        <f>'proyección hogares'!F199*'provincia (%)'!K193</f>
        <v>40152.31292</v>
      </c>
      <c r="O61" s="8">
        <f>'proyección hogares'!E199*'provincia (%)'!K193</f>
        <v>41091.23107</v>
      </c>
      <c r="P61" s="8">
        <f>'proyección hogares'!D199*'provincia (%)'!K193</f>
        <v>42037.35707</v>
      </c>
      <c r="Q61" s="8">
        <f>'proyección hogares'!C199*'provincia (%)'!K193</f>
        <v>42969.82609</v>
      </c>
      <c r="R61" s="8">
        <f>'proyección hogares'!B199*'provincia (%)'!K193</f>
        <v>43888.63811</v>
      </c>
    </row>
    <row r="62" ht="15.0" customHeight="1">
      <c r="A62" s="9"/>
      <c r="B62" s="10" t="s">
        <v>22</v>
      </c>
      <c r="C62" s="11">
        <f>'proyección hogares'!Q199*'provincia (%)'!K194</f>
        <v>16765.4135</v>
      </c>
      <c r="D62" s="11">
        <f>'proyección hogares'!P199*'provincia (%)'!K194</f>
        <v>17375.40388</v>
      </c>
      <c r="E62" s="11">
        <f>'proyección hogares'!O199*'provincia (%)'!K194</f>
        <v>17982.32347</v>
      </c>
      <c r="F62" s="11">
        <f>'proyección hogares'!N199*'provincia (%)'!K194</f>
        <v>18583.97886</v>
      </c>
      <c r="G62" s="11">
        <f>'proyección hogares'!M199*'provincia (%)'!K194</f>
        <v>19199.23345</v>
      </c>
      <c r="H62" s="11">
        <f>'proyección hogares'!L199*'provincia (%)'!K194</f>
        <v>19827.64857</v>
      </c>
      <c r="I62" s="11">
        <f>'proyección hogares'!K199*'provincia (%)'!K194</f>
        <v>20426.67185</v>
      </c>
      <c r="J62" s="11">
        <f>'proyección hogares'!J199*'provincia (%)'!K194</f>
        <v>20997.39999</v>
      </c>
      <c r="K62" s="11">
        <f>'proyección hogares'!I199*'provincia (%)'!K194</f>
        <v>21560.23182</v>
      </c>
      <c r="L62" s="11">
        <f>'proyección hogares'!H199*'provincia (%)'!K194</f>
        <v>22128.76655</v>
      </c>
      <c r="M62" s="11">
        <f>'proyección hogares'!G199*'provincia (%)'!K194</f>
        <v>22672.29628</v>
      </c>
      <c r="N62" s="11">
        <f>'proyección hogares'!F199*'provincia (%)'!K194</f>
        <v>23215.60666</v>
      </c>
      <c r="O62" s="11">
        <f>'proyección hogares'!E199*'provincia (%)'!K194</f>
        <v>23758.47836</v>
      </c>
      <c r="P62" s="11">
        <f>'proyección hogares'!D199*'provincia (%)'!K194</f>
        <v>24305.51756</v>
      </c>
      <c r="Q62" s="11">
        <f>'proyección hogares'!C199*'provincia (%)'!K194</f>
        <v>24844.66045</v>
      </c>
      <c r="R62" s="11">
        <f>'proyección hogares'!B199*'provincia (%)'!K194</f>
        <v>25375.90702</v>
      </c>
    </row>
    <row r="63" ht="15.0" customHeight="1">
      <c r="A63" s="12"/>
      <c r="B63" s="13" t="s">
        <v>23</v>
      </c>
      <c r="C63" s="14">
        <f>'proyección hogares'!Q199*'provincia (%)'!K195</f>
        <v>41791.79856</v>
      </c>
      <c r="D63" s="14">
        <f>'proyección hogares'!P199*'provincia (%)'!K195</f>
        <v>43312.34532</v>
      </c>
      <c r="E63" s="14">
        <f>'proyección hogares'!O199*'provincia (%)'!K195</f>
        <v>44825.23741</v>
      </c>
      <c r="F63" s="14">
        <f>'proyección hogares'!N199*'provincia (%)'!K195</f>
        <v>46325.00719</v>
      </c>
      <c r="G63" s="14">
        <f>'proyección hogares'!M199*'provincia (%)'!K195</f>
        <v>47858.67626</v>
      </c>
      <c r="H63" s="14">
        <f>'proyección hogares'!L199*'provincia (%)'!K195</f>
        <v>49425.15108</v>
      </c>
      <c r="I63" s="14">
        <f>'proyección hogares'!K199*'provincia (%)'!K195</f>
        <v>50918.35971</v>
      </c>
      <c r="J63" s="14">
        <f>'proyección hogares'!J199*'provincia (%)'!K195</f>
        <v>52341.03597</v>
      </c>
      <c r="K63" s="14">
        <f>'proyección hogares'!I199*'provincia (%)'!K195</f>
        <v>53744.02878</v>
      </c>
      <c r="L63" s="14">
        <f>'proyección hogares'!H199*'provincia (%)'!K195</f>
        <v>55161.23741</v>
      </c>
      <c r="M63" s="14">
        <f>'proyección hogares'!G199*'provincia (%)'!K195</f>
        <v>56516.11511</v>
      </c>
      <c r="N63" s="14">
        <f>'proyección hogares'!F199*'provincia (%)'!K195</f>
        <v>57870.44604</v>
      </c>
      <c r="O63" s="14">
        <f>'proyección hogares'!E199*'provincia (%)'!K195</f>
        <v>59223.68345</v>
      </c>
      <c r="P63" s="14">
        <f>'proyección hogares'!D199*'provincia (%)'!K195</f>
        <v>60587.30935</v>
      </c>
      <c r="Q63" s="14">
        <f>'proyección hogares'!C199*'provincia (%)'!K195</f>
        <v>61931.2518</v>
      </c>
      <c r="R63" s="14">
        <f>'proyección hogares'!B199*'provincia (%)'!K195</f>
        <v>63255.51079</v>
      </c>
    </row>
    <row r="64" ht="15.0" customHeight="1">
      <c r="A64" s="6" t="s">
        <v>42</v>
      </c>
      <c r="B64" s="7" t="s">
        <v>21</v>
      </c>
      <c r="C64" s="8">
        <f>'proyección hogares'!Q206*'provincia (%)'!K85</f>
        <v>8998.587342</v>
      </c>
      <c r="D64" s="8">
        <f>'proyección hogares'!P206*'provincia (%)'!K85</f>
        <v>9225.111674</v>
      </c>
      <c r="E64" s="8">
        <f>'proyección hogares'!O206*'provincia (%)'!K85</f>
        <v>9441.961181</v>
      </c>
      <c r="F64" s="8">
        <f>'proyección hogares'!N206*'provincia (%)'!K85</f>
        <v>9658.810689</v>
      </c>
      <c r="G64" s="8">
        <f>'proyección hogares'!M206*'provincia (%)'!K85</f>
        <v>9874.992968</v>
      </c>
      <c r="H64" s="8">
        <f>'proyección hogares'!L206*'provincia (%)'!K85</f>
        <v>10093.51055</v>
      </c>
      <c r="I64" s="8">
        <f>'proyección hogares'!K206*'provincia (%)'!K85</f>
        <v>10295.01378</v>
      </c>
      <c r="J64" s="8">
        <f>'proyección hogares'!J206*'provincia (%)'!K85</f>
        <v>10489.84473</v>
      </c>
      <c r="K64" s="8">
        <f>'proyección hogares'!I206*'provincia (%)'!K85</f>
        <v>10672.99916</v>
      </c>
      <c r="L64" s="8">
        <f>'proyección hogares'!H206*'provincia (%)'!K85</f>
        <v>10858.48889</v>
      </c>
      <c r="M64" s="8">
        <f>'proyección hogares'!G206*'provincia (%)'!K85</f>
        <v>11031.63488</v>
      </c>
      <c r="N64" s="8">
        <f>'proyección hogares'!F206*'provincia (%)'!K85</f>
        <v>11200.44388</v>
      </c>
      <c r="O64" s="8">
        <f>'proyección hogares'!E206*'provincia (%)'!K85</f>
        <v>11366.58397</v>
      </c>
      <c r="P64" s="8">
        <f>'proyección hogares'!D206*'provincia (%)'!K85</f>
        <v>11537.72827</v>
      </c>
      <c r="Q64" s="8">
        <f>'proyección hogares'!C206*'provincia (%)'!K85</f>
        <v>11709.87342</v>
      </c>
      <c r="R64" s="8">
        <f>'proyección hogares'!B206*'provincia (%)'!K85</f>
        <v>11879.34965</v>
      </c>
    </row>
    <row r="65" ht="15.0" customHeight="1">
      <c r="A65" s="9"/>
      <c r="B65" s="10" t="s">
        <v>22</v>
      </c>
      <c r="C65" s="11">
        <f>'proyección hogares'!Q206*'provincia (%)'!K86</f>
        <v>4894.500123</v>
      </c>
      <c r="D65" s="11">
        <f>'proyección hogares'!P206*'provincia (%)'!K86</f>
        <v>5017.710948</v>
      </c>
      <c r="E65" s="11">
        <f>'proyección hogares'!O206*'provincia (%)'!K86</f>
        <v>5135.659455</v>
      </c>
      <c r="F65" s="11">
        <f>'proyección hogares'!N206*'provincia (%)'!K86</f>
        <v>5253.607962</v>
      </c>
      <c r="G65" s="11">
        <f>'proyección hogares'!M206*'provincia (%)'!K86</f>
        <v>5371.193551</v>
      </c>
      <c r="H65" s="11">
        <f>'proyección hogares'!L206*'provincia (%)'!K86</f>
        <v>5490.049354</v>
      </c>
      <c r="I65" s="11">
        <f>'proyección hogares'!K206*'provincia (%)'!K86</f>
        <v>5599.650736</v>
      </c>
      <c r="J65" s="11">
        <f>'proyección hogares'!J206*'provincia (%)'!K86</f>
        <v>5705.622933</v>
      </c>
      <c r="K65" s="11">
        <f>'proyección hogares'!I206*'provincia (%)'!K86</f>
        <v>5805.244057</v>
      </c>
      <c r="L65" s="11">
        <f>'proyección hogares'!H206*'provincia (%)'!K86</f>
        <v>5906.135395</v>
      </c>
      <c r="M65" s="11">
        <f>'proyección hogares'!G206*'provincia (%)'!K86</f>
        <v>6000.312742</v>
      </c>
      <c r="N65" s="11">
        <f>'proyección hogares'!F206*'provincia (%)'!K86</f>
        <v>6092.131118</v>
      </c>
      <c r="O65" s="11">
        <f>'proyección hogares'!E206*'provincia (%)'!K86</f>
        <v>6182.49782</v>
      </c>
      <c r="P65" s="11">
        <f>'proyección hogares'!D206*'provincia (%)'!K86</f>
        <v>6275.586411</v>
      </c>
      <c r="Q65" s="11">
        <f>'proyección hogares'!C206*'provincia (%)'!K86</f>
        <v>6369.21938</v>
      </c>
      <c r="R65" s="11">
        <f>'proyección hogares'!B206*'provincia (%)'!K86</f>
        <v>6461.400675</v>
      </c>
    </row>
    <row r="66" ht="15.0" customHeight="1">
      <c r="A66" s="12"/>
      <c r="B66" s="13" t="s">
        <v>23</v>
      </c>
      <c r="C66" s="14">
        <f>'proyección hogares'!Q206*'provincia (%)'!K87</f>
        <v>14434.80399</v>
      </c>
      <c r="D66" s="14">
        <f>'proyección hogares'!P206*'provincia (%)'!K87</f>
        <v>14798.17595</v>
      </c>
      <c r="E66" s="14">
        <f>'proyección hogares'!O206*'provincia (%)'!K87</f>
        <v>15146.02834</v>
      </c>
      <c r="F66" s="14">
        <f>'proyección hogares'!N206*'provincia (%)'!K87</f>
        <v>15493.88074</v>
      </c>
      <c r="G66" s="14">
        <f>'proyección hogares'!M206*'provincia (%)'!K87</f>
        <v>15840.66281</v>
      </c>
      <c r="H66" s="14">
        <f>'proyección hogares'!L206*'provincia (%)'!K87</f>
        <v>16191.191</v>
      </c>
      <c r="I66" s="14">
        <f>'proyección hogares'!K206*'provincia (%)'!K87</f>
        <v>16514.42614</v>
      </c>
      <c r="J66" s="14">
        <f>'proyección hogares'!J206*'provincia (%)'!K87</f>
        <v>16826.95814</v>
      </c>
      <c r="K66" s="14">
        <f>'proyección hogares'!I206*'provincia (%)'!K87</f>
        <v>17120.75962</v>
      </c>
      <c r="L66" s="14">
        <f>'proyección hogares'!H206*'provincia (%)'!K87</f>
        <v>17418.30721</v>
      </c>
      <c r="M66" s="14">
        <f>'proyección hogares'!G206*'provincia (%)'!K87</f>
        <v>17696.05396</v>
      </c>
      <c r="N66" s="14">
        <f>'proyección hogares'!F206*'provincia (%)'!K87</f>
        <v>17966.84367</v>
      </c>
      <c r="O66" s="14">
        <f>'proyección hogares'!E206*'provincia (%)'!K87</f>
        <v>18233.35212</v>
      </c>
      <c r="P66" s="14">
        <f>'proyección hogares'!D206*'provincia (%)'!K87</f>
        <v>18507.88793</v>
      </c>
      <c r="Q66" s="14">
        <f>'proyección hogares'!C206*'provincia (%)'!K87</f>
        <v>18784.02922</v>
      </c>
      <c r="R66" s="14">
        <f>'proyección hogares'!B206*'provincia (%)'!K87</f>
        <v>19055.88924</v>
      </c>
    </row>
    <row r="67" ht="15.0" customHeight="1">
      <c r="A67" s="6" t="s">
        <v>43</v>
      </c>
      <c r="B67" s="7" t="s">
        <v>21</v>
      </c>
      <c r="C67" s="8">
        <f>'proyección hogares'!Q220*'provincia (%)'!K53</f>
        <v>21618.98656</v>
      </c>
      <c r="D67" s="8">
        <f>'proyección hogares'!P220*'provincia (%)'!K53</f>
        <v>22186.73937</v>
      </c>
      <c r="E67" s="8">
        <f>'proyección hogares'!O220*'provincia (%)'!K53</f>
        <v>22759.08318</v>
      </c>
      <c r="F67" s="8">
        <f>'proyección hogares'!N220*'provincia (%)'!K53</f>
        <v>23305.41136</v>
      </c>
      <c r="G67" s="8">
        <f>'proyección hogares'!M220*'provincia (%)'!K53</f>
        <v>23850.59179</v>
      </c>
      <c r="H67" s="8">
        <f>'proyección hogares'!L220*'provincia (%)'!K53</f>
        <v>24408.01487</v>
      </c>
      <c r="I67" s="8">
        <f>'proyección hogares'!K220*'provincia (%)'!K53</f>
        <v>24931.0055</v>
      </c>
      <c r="J67" s="8">
        <f>'proyección hogares'!J220*'provincia (%)'!K53</f>
        <v>25428.74567</v>
      </c>
      <c r="K67" s="8">
        <f>'proyección hogares'!I220*'provincia (%)'!K53</f>
        <v>25910.41737</v>
      </c>
      <c r="L67" s="8">
        <f>'proyección hogares'!H220*'provincia (%)'!K53</f>
        <v>26386.7329</v>
      </c>
      <c r="M67" s="8">
        <f>'proyección hogares'!G220*'provincia (%)'!K53</f>
        <v>26848.89288</v>
      </c>
      <c r="N67" s="8">
        <f>'proyección hogares'!F220*'provincia (%)'!K53</f>
        <v>27297.66245</v>
      </c>
      <c r="O67" s="8">
        <f>'proyección hogares'!E220*'provincia (%)'!K53</f>
        <v>27733.8068</v>
      </c>
      <c r="P67" s="8">
        <f>'proyección hogares'!D220*'provincia (%)'!K53</f>
        <v>28165.74273</v>
      </c>
      <c r="Q67" s="8">
        <f>'proyección hogares'!C220*'provincia (%)'!K53</f>
        <v>28580.84503</v>
      </c>
      <c r="R67" s="8">
        <f>'proyección hogares'!B220*'provincia (%)'!K53</f>
        <v>28970.69686</v>
      </c>
    </row>
    <row r="68" ht="15.0" customHeight="1">
      <c r="A68" s="9"/>
      <c r="B68" s="10" t="s">
        <v>22</v>
      </c>
      <c r="C68" s="11">
        <f>'proyección hogares'!Q220*'provincia (%)'!K54</f>
        <v>14280.79316</v>
      </c>
      <c r="D68" s="11">
        <f>'proyección hogares'!P220*'provincia (%)'!K54</f>
        <v>14655.83204</v>
      </c>
      <c r="E68" s="11">
        <f>'proyección hogares'!O220*'provincia (%)'!K54</f>
        <v>15033.90358</v>
      </c>
      <c r="F68" s="11">
        <f>'proyección hogares'!N220*'provincia (%)'!K54</f>
        <v>15394.79005</v>
      </c>
      <c r="G68" s="11">
        <f>'proyección hogares'!M220*'provincia (%)'!K54</f>
        <v>15754.91835</v>
      </c>
      <c r="H68" s="11">
        <f>'proyección hogares'!L220*'provincia (%)'!K54</f>
        <v>16123.13375</v>
      </c>
      <c r="I68" s="11">
        <f>'proyección hogares'!K220*'provincia (%)'!K54</f>
        <v>16468.6042</v>
      </c>
      <c r="J68" s="11">
        <f>'proyección hogares'!J220*'provincia (%)'!K54</f>
        <v>16797.39502</v>
      </c>
      <c r="K68" s="11">
        <f>'proyección hogares'!I220*'provincia (%)'!K54</f>
        <v>17115.57154</v>
      </c>
      <c r="L68" s="11">
        <f>'proyección hogares'!H220*'provincia (%)'!K54</f>
        <v>17430.20995</v>
      </c>
      <c r="M68" s="11">
        <f>'proyección hogares'!G220*'provincia (%)'!K54</f>
        <v>17735.49767</v>
      </c>
      <c r="N68" s="11">
        <f>'proyección hogares'!F220*'provincia (%)'!K54</f>
        <v>18031.94012</v>
      </c>
      <c r="O68" s="11">
        <f>'proyección hogares'!E220*'provincia (%)'!K54</f>
        <v>18320.04277</v>
      </c>
      <c r="P68" s="11">
        <f>'proyección hogares'!D220*'provincia (%)'!K54</f>
        <v>18605.36547</v>
      </c>
      <c r="Q68" s="11">
        <f>'proyección hogares'!C220*'provincia (%)'!K54</f>
        <v>18879.56843</v>
      </c>
      <c r="R68" s="11">
        <f>'proyección hogares'!B220*'provincia (%)'!K54</f>
        <v>19137.09176</v>
      </c>
    </row>
    <row r="69" ht="15.0" customHeight="1">
      <c r="A69" s="12"/>
      <c r="B69" s="13" t="s">
        <v>23</v>
      </c>
      <c r="C69" s="14">
        <f>'proyección hogares'!Q220*'provincia (%)'!K55</f>
        <v>29353.72849</v>
      </c>
      <c r="D69" s="14">
        <f>'proyección hogares'!P220*'provincia (%)'!K55</f>
        <v>30124.6093</v>
      </c>
      <c r="E69" s="14">
        <f>'proyección hogares'!O220*'provincia (%)'!K55</f>
        <v>30901.72366</v>
      </c>
      <c r="F69" s="14">
        <f>'proyección hogares'!N220*'provincia (%)'!K55</f>
        <v>31643.51463</v>
      </c>
      <c r="G69" s="14">
        <f>'proyección hogares'!M220*'provincia (%)'!K55</f>
        <v>32383.74722</v>
      </c>
      <c r="H69" s="14">
        <f>'proyección hogares'!L220*'provincia (%)'!K55</f>
        <v>33140.60257</v>
      </c>
      <c r="I69" s="14">
        <f>'proyección hogares'!K220*'provincia (%)'!K55</f>
        <v>33850.7064</v>
      </c>
      <c r="J69" s="14">
        <f>'proyección hogares'!J220*'provincia (%)'!K55</f>
        <v>34526.52576</v>
      </c>
      <c r="K69" s="14">
        <f>'proyección hogares'!I220*'provincia (%)'!K55</f>
        <v>35180.52775</v>
      </c>
      <c r="L69" s="14">
        <f>'proyección hogares'!H220*'provincia (%)'!K55</f>
        <v>35827.25727</v>
      </c>
      <c r="M69" s="14">
        <f>'proyección hogares'!G220*'provincia (%)'!K55</f>
        <v>36454.76672</v>
      </c>
      <c r="N69" s="14">
        <f>'proyección hogares'!F220*'provincia (%)'!K55</f>
        <v>37064.09502</v>
      </c>
      <c r="O69" s="14">
        <f>'proyección hogares'!E220*'provincia (%)'!K55</f>
        <v>37656.28109</v>
      </c>
      <c r="P69" s="14">
        <f>'proyección hogares'!D220*'provincia (%)'!K55</f>
        <v>38242.75309</v>
      </c>
      <c r="Q69" s="14">
        <f>'proyección hogares'!C220*'provincia (%)'!K55</f>
        <v>38806.36878</v>
      </c>
      <c r="R69" s="14">
        <f>'proyección hogares'!B220*'provincia (%)'!K55</f>
        <v>39335.70001</v>
      </c>
    </row>
    <row r="70" ht="15.0" customHeight="1">
      <c r="A70" s="6" t="s">
        <v>44</v>
      </c>
      <c r="B70" s="7" t="s">
        <v>21</v>
      </c>
      <c r="C70" s="8">
        <f>'proyección hogares'!Q227*'provincia (%)'!K181</f>
        <v>5692.049406</v>
      </c>
      <c r="D70" s="8">
        <f>'proyección hogares'!P227*'provincia (%)'!K181</f>
        <v>5832.766084</v>
      </c>
      <c r="E70" s="8">
        <f>'proyección hogares'!O227*'provincia (%)'!K181</f>
        <v>5969.895084</v>
      </c>
      <c r="F70" s="8">
        <f>'proyección hogares'!N227*'provincia (%)'!K181</f>
        <v>6105.828192</v>
      </c>
      <c r="G70" s="8">
        <f>'proyección hogares'!M227*'provincia (%)'!K181</f>
        <v>6236.579099</v>
      </c>
      <c r="H70" s="8">
        <f>'proyección hogares'!L227*'provincia (%)'!K181</f>
        <v>6366.134114</v>
      </c>
      <c r="I70" s="8">
        <f>'proyección hogares'!K227*'provincia (%)'!K181</f>
        <v>6496.08776</v>
      </c>
      <c r="J70" s="8">
        <f>'proyección hogares'!J227*'provincia (%)'!K181</f>
        <v>6618.068789</v>
      </c>
      <c r="K70" s="8">
        <f>'proyección hogares'!I227*'provincia (%)'!K181</f>
        <v>6732.077202</v>
      </c>
      <c r="L70" s="8">
        <f>'proyección hogares'!H227*'provincia (%)'!K181</f>
        <v>6849.274662</v>
      </c>
      <c r="M70" s="8">
        <f>'proyección hogares'!G227*'provincia (%)'!K181</f>
        <v>6959.695398</v>
      </c>
      <c r="N70" s="8">
        <f>'proyección hogares'!F227*'provincia (%)'!K181</f>
        <v>7067.724348</v>
      </c>
      <c r="O70" s="8">
        <f>'proyección hogares'!E227*'provincia (%)'!K181</f>
        <v>7174.956038</v>
      </c>
      <c r="P70" s="8">
        <f>'proyección hogares'!D227*'provincia (%)'!K181</f>
        <v>7282.187727</v>
      </c>
      <c r="Q70" s="8">
        <f>'proyección hogares'!C227*'provincia (%)'!K181</f>
        <v>7382.642692</v>
      </c>
      <c r="R70" s="8">
        <f>'proyección hogares'!B227*'provincia (%)'!K181</f>
        <v>7483.496288</v>
      </c>
    </row>
    <row r="71" ht="15.0" customHeight="1">
      <c r="A71" s="9"/>
      <c r="B71" s="10" t="s">
        <v>22</v>
      </c>
      <c r="C71" s="11">
        <f>'proyección hogares'!Q227*'provincia (%)'!K182</f>
        <v>3508.684732</v>
      </c>
      <c r="D71" s="11">
        <f>'proyección hogares'!P227*'provincia (%)'!K182</f>
        <v>3595.4251</v>
      </c>
      <c r="E71" s="11">
        <f>'proyección hogares'!O227*'provincia (%)'!K182</f>
        <v>3679.953957</v>
      </c>
      <c r="F71" s="11">
        <f>'proyección hogares'!N227*'provincia (%)'!K182</f>
        <v>3763.745643</v>
      </c>
      <c r="G71" s="11">
        <f>'proyección hogares'!M227*'provincia (%)'!K182</f>
        <v>3844.342926</v>
      </c>
      <c r="H71" s="11">
        <f>'proyección hogares'!L227*'provincia (%)'!K182</f>
        <v>3924.203038</v>
      </c>
      <c r="I71" s="11">
        <f>'proyección hogares'!K227*'provincia (%)'!K182</f>
        <v>4004.308873</v>
      </c>
      <c r="J71" s="11">
        <f>'proyección hogares'!J227*'provincia (%)'!K182</f>
        <v>4079.50024</v>
      </c>
      <c r="K71" s="11">
        <f>'proyección hogares'!I227*'provincia (%)'!K182</f>
        <v>4149.777138</v>
      </c>
      <c r="L71" s="11">
        <f>'proyección hogares'!H227*'provincia (%)'!K182</f>
        <v>4222.019824</v>
      </c>
      <c r="M71" s="11">
        <f>'proyección hogares'!G227*'provincia (%)'!K182</f>
        <v>4290.085212</v>
      </c>
      <c r="N71" s="11">
        <f>'proyección hogares'!F227*'provincia (%)'!K182</f>
        <v>4356.676259</v>
      </c>
      <c r="O71" s="11">
        <f>'proyección hogares'!E227*'provincia (%)'!K182</f>
        <v>4422.775859</v>
      </c>
      <c r="P71" s="11">
        <f>'proyección hogares'!D227*'provincia (%)'!K182</f>
        <v>4488.87546</v>
      </c>
      <c r="Q71" s="11">
        <f>'proyección hogares'!C227*'provincia (%)'!K182</f>
        <v>4550.797762</v>
      </c>
      <c r="R71" s="11">
        <f>'proyección hogares'!B227*'provincia (%)'!K182</f>
        <v>4612.965787</v>
      </c>
    </row>
    <row r="72" ht="15.0" customHeight="1">
      <c r="A72" s="12"/>
      <c r="B72" s="13" t="s">
        <v>23</v>
      </c>
      <c r="C72" s="14">
        <f>'proyección hogares'!Q227*'provincia (%)'!K183</f>
        <v>8019.012438</v>
      </c>
      <c r="D72" s="14">
        <f>'proyección hogares'!P227*'provincia (%)'!K183</f>
        <v>8217.25541</v>
      </c>
      <c r="E72" s="14">
        <f>'proyección hogares'!O227*'provincia (%)'!K183</f>
        <v>8410.444028</v>
      </c>
      <c r="F72" s="14">
        <f>'proyección hogares'!N227*'provincia (%)'!K183</f>
        <v>8601.947862</v>
      </c>
      <c r="G72" s="14">
        <f>'proyección hogares'!M227*'provincia (%)'!K183</f>
        <v>8786.150963</v>
      </c>
      <c r="H72" s="14">
        <f>'proyección hogares'!L227*'provincia (%)'!K183</f>
        <v>8968.669279</v>
      </c>
      <c r="I72" s="14">
        <f>'proyección hogares'!K227*'provincia (%)'!K183</f>
        <v>9151.749191</v>
      </c>
      <c r="J72" s="14">
        <f>'proyección hogares'!J227*'provincia (%)'!K183</f>
        <v>9323.597206</v>
      </c>
      <c r="K72" s="14">
        <f>'proyección hogares'!I227*'provincia (%)'!K183</f>
        <v>9484.213324</v>
      </c>
      <c r="L72" s="14">
        <f>'proyección hogares'!H227*'provincia (%)'!K183</f>
        <v>9649.322201</v>
      </c>
      <c r="M72" s="14">
        <f>'proyección hogares'!G227*'provincia (%)'!K183</f>
        <v>9804.883967</v>
      </c>
      <c r="N72" s="14">
        <f>'proyección hogares'!F227*'provincia (%)'!K183</f>
        <v>9957.076163</v>
      </c>
      <c r="O72" s="14">
        <f>'proyección hogares'!E227*'provincia (%)'!K183</f>
        <v>10108.14517</v>
      </c>
      <c r="P72" s="14">
        <f>'proyección hogares'!D227*'provincia (%)'!K183</f>
        <v>10259.21418</v>
      </c>
      <c r="Q72" s="14">
        <f>'proyección hogares'!C227*'provincia (%)'!K183</f>
        <v>10400.73607</v>
      </c>
      <c r="R72" s="14">
        <f>'proyección hogares'!B227*'provincia (%)'!K183</f>
        <v>10542.81956</v>
      </c>
    </row>
    <row r="73" ht="15.0" customHeight="1">
      <c r="A73" s="6" t="s">
        <v>45</v>
      </c>
      <c r="B73" s="7" t="s">
        <v>21</v>
      </c>
      <c r="C73" s="8">
        <f>'proyección hogares'!Q234*'provincia (%)'!K173</f>
        <v>7712.107728</v>
      </c>
      <c r="D73" s="8">
        <f>'proyección hogares'!P234*'provincia (%)'!K173</f>
        <v>7918.889276</v>
      </c>
      <c r="E73" s="8">
        <f>'proyección hogares'!O234*'provincia (%)'!K173</f>
        <v>8123.560808</v>
      </c>
      <c r="F73" s="8">
        <f>'proyección hogares'!N234*'provincia (%)'!K173</f>
        <v>8327.529002</v>
      </c>
      <c r="G73" s="8">
        <f>'proyección hogares'!M234*'provincia (%)'!K173</f>
        <v>8524.815478</v>
      </c>
      <c r="H73" s="8">
        <f>'proyección hogares'!L234*'provincia (%)'!K173</f>
        <v>8729.135341</v>
      </c>
      <c r="I73" s="8">
        <f>'proyección hogares'!K234*'provincia (%)'!K173</f>
        <v>8925.36681</v>
      </c>
      <c r="J73" s="8">
        <f>'proyección hogares'!J234*'provincia (%)'!K173</f>
        <v>9113.861554</v>
      </c>
      <c r="K73" s="8">
        <f>'proyección hogares'!I234*'provincia (%)'!K173</f>
        <v>9299.542944</v>
      </c>
      <c r="L73" s="8">
        <f>'proyección hogares'!H234*'provincia (%)'!K173</f>
        <v>9479.949295</v>
      </c>
      <c r="M73" s="8">
        <f>'proyección hogares'!G234*'provincia (%)'!K173</f>
        <v>9656.838952</v>
      </c>
      <c r="N73" s="8">
        <f>'proyección hogares'!F234*'provincia (%)'!K173</f>
        <v>9837.948641</v>
      </c>
      <c r="O73" s="8">
        <f>'proyección hogares'!E234*'provincia (%)'!K173</f>
        <v>10018.00332</v>
      </c>
      <c r="P73" s="8">
        <f>'proyección hogares'!D234*'provincia (%)'!K173</f>
        <v>10201.22303</v>
      </c>
      <c r="Q73" s="8">
        <f>'proyección hogares'!C234*'provincia (%)'!K173</f>
        <v>10383.73939</v>
      </c>
      <c r="R73" s="8">
        <f>'proyección hogares'!B234*'provincia (%)'!K173</f>
        <v>10553.94733</v>
      </c>
    </row>
    <row r="74" ht="15.0" customHeight="1">
      <c r="A74" s="9"/>
      <c r="B74" s="10" t="s">
        <v>22</v>
      </c>
      <c r="C74" s="11">
        <f>'proyección hogares'!Q234*'provincia (%)'!K174</f>
        <v>4978.130704</v>
      </c>
      <c r="D74" s="11">
        <f>'proyección hogares'!P234*'provincia (%)'!K174</f>
        <v>5111.607259</v>
      </c>
      <c r="E74" s="11">
        <f>'proyección hogares'!O234*'provincia (%)'!K174</f>
        <v>5243.721808</v>
      </c>
      <c r="F74" s="11">
        <f>'proyección hogares'!N234*'provincia (%)'!K174</f>
        <v>5375.382356</v>
      </c>
      <c r="G74" s="11">
        <f>'proyección hogares'!M234*'provincia (%)'!K174</f>
        <v>5502.729886</v>
      </c>
      <c r="H74" s="11">
        <f>'proyección hogares'!L234*'provincia (%)'!K174</f>
        <v>5634.617434</v>
      </c>
      <c r="I74" s="11">
        <f>'proyección hogares'!K234*'provincia (%)'!K174</f>
        <v>5761.283961</v>
      </c>
      <c r="J74" s="11">
        <f>'proyección hogares'!J234*'provincia (%)'!K174</f>
        <v>5882.956467</v>
      </c>
      <c r="K74" s="11">
        <f>'proyección hogares'!I234*'provincia (%)'!K174</f>
        <v>6002.812965</v>
      </c>
      <c r="L74" s="11">
        <f>'proyección hogares'!H234*'provincia (%)'!K174</f>
        <v>6119.26445</v>
      </c>
      <c r="M74" s="11">
        <f>'proyección hogares'!G234*'provincia (%)'!K174</f>
        <v>6233.445925</v>
      </c>
      <c r="N74" s="11">
        <f>'proyección hogares'!F234*'provincia (%)'!K174</f>
        <v>6350.351411</v>
      </c>
      <c r="O74" s="11">
        <f>'proyección hogares'!E234*'provincia (%)'!K174</f>
        <v>6466.575894</v>
      </c>
      <c r="P74" s="11">
        <f>'proyección hogares'!D234*'provincia (%)'!K174</f>
        <v>6584.843386</v>
      </c>
      <c r="Q74" s="11">
        <f>'proyección hogares'!C234*'provincia (%)'!K174</f>
        <v>6702.656876</v>
      </c>
      <c r="R74" s="11">
        <f>'proyección hogares'!B234*'provincia (%)'!K174</f>
        <v>6812.525333</v>
      </c>
    </row>
    <row r="75" ht="15.0" customHeight="1">
      <c r="A75" s="12"/>
      <c r="B75" s="13" t="s">
        <v>23</v>
      </c>
      <c r="C75" s="14">
        <f>'proyección hogares'!Q234*'provincia (%)'!K175</f>
        <v>10664.41889</v>
      </c>
      <c r="D75" s="14">
        <f>'proyección hogares'!P234*'provincia (%)'!K175</f>
        <v>10950.35954</v>
      </c>
      <c r="E75" s="14">
        <f>'proyección hogares'!O234*'provincia (%)'!K175</f>
        <v>11233.38242</v>
      </c>
      <c r="F75" s="14">
        <f>'proyección hogares'!N234*'provincia (%)'!K175</f>
        <v>11515.43271</v>
      </c>
      <c r="G75" s="14">
        <f>'proyección hogares'!M234*'provincia (%)'!K175</f>
        <v>11788.24343</v>
      </c>
      <c r="H75" s="14">
        <f>'proyección hogares'!L234*'provincia (%)'!K175</f>
        <v>12070.78002</v>
      </c>
      <c r="I75" s="14">
        <f>'proyección hogares'!K234*'provincia (%)'!K175</f>
        <v>12342.13185</v>
      </c>
      <c r="J75" s="14">
        <f>'proyección hogares'!J234*'provincia (%)'!K175</f>
        <v>12602.78523</v>
      </c>
      <c r="K75" s="14">
        <f>'proyección hogares'!I234*'provincia (%)'!K175</f>
        <v>12859.54826</v>
      </c>
      <c r="L75" s="14">
        <f>'proyección hogares'!H234*'provincia (%)'!K175</f>
        <v>13109.01688</v>
      </c>
      <c r="M75" s="14">
        <f>'proyección hogares'!G234*'provincia (%)'!K175</f>
        <v>13353.62256</v>
      </c>
      <c r="N75" s="14">
        <f>'proyección hogares'!F234*'provincia (%)'!K175</f>
        <v>13604.06377</v>
      </c>
      <c r="O75" s="14">
        <f>'proyección hogares'!E234*'provincia (%)'!K175</f>
        <v>13853.0461</v>
      </c>
      <c r="P75" s="14">
        <f>'proyección hogares'!D234*'provincia (%)'!K175</f>
        <v>14106.40507</v>
      </c>
      <c r="Q75" s="14">
        <f>'proyección hogares'!C234*'provincia (%)'!K175</f>
        <v>14358.79146</v>
      </c>
      <c r="R75" s="14">
        <f>'proyección hogares'!B234*'provincia (%)'!K175</f>
        <v>14594.15757</v>
      </c>
    </row>
    <row r="76" ht="15.0" customHeight="1">
      <c r="A76" s="6" t="s">
        <v>46</v>
      </c>
      <c r="B76" s="7" t="s">
        <v>21</v>
      </c>
      <c r="C76" s="8">
        <f>'proyección hogares'!Q241*'provincia (%)'!K149</f>
        <v>8361.320682</v>
      </c>
      <c r="D76" s="8">
        <f>'proyección hogares'!P241*'provincia (%)'!K149</f>
        <v>8543.523625</v>
      </c>
      <c r="E76" s="8">
        <f>'proyección hogares'!O241*'provincia (%)'!K149</f>
        <v>8713.303641</v>
      </c>
      <c r="F76" s="8">
        <f>'proyección hogares'!N241*'provincia (%)'!K149</f>
        <v>8879.977924</v>
      </c>
      <c r="G76" s="8">
        <f>'proyección hogares'!M241*'provincia (%)'!K149</f>
        <v>9043.546476</v>
      </c>
      <c r="H76" s="8">
        <f>'proyección hogares'!L241*'provincia (%)'!K149</f>
        <v>9204.009295</v>
      </c>
      <c r="I76" s="8">
        <f>'proyección hogares'!K241*'provincia (%)'!K149</f>
        <v>9362.401627</v>
      </c>
      <c r="J76" s="8">
        <f>'proyección hogares'!J241*'provincia (%)'!K149</f>
        <v>9509.406274</v>
      </c>
      <c r="K76" s="8">
        <f>'proyección hogares'!I241*'provincia (%)'!K149</f>
        <v>9650.544539</v>
      </c>
      <c r="L76" s="8">
        <f>'proyección hogares'!H241*'provincia (%)'!K149</f>
        <v>9790.64756</v>
      </c>
      <c r="M76" s="8">
        <f>'proyección hogares'!G241*'provincia (%)'!K149</f>
        <v>9925.919442</v>
      </c>
      <c r="N76" s="8">
        <f>'proyección hogares'!F241*'provincia (%)'!K149</f>
        <v>10053.94462</v>
      </c>
      <c r="O76" s="8">
        <f>'proyección hogares'!E241*'provincia (%)'!K149</f>
        <v>10179.55422</v>
      </c>
      <c r="P76" s="8">
        <f>'proyección hogares'!D241*'provincia (%)'!K149</f>
        <v>10300.33269</v>
      </c>
      <c r="Q76" s="8">
        <f>'proyección hogares'!C241*'provincia (%)'!K149</f>
        <v>10416.97018</v>
      </c>
      <c r="R76" s="8">
        <f>'proyección hogares'!B241*'provincia (%)'!K149</f>
        <v>10521.18474</v>
      </c>
    </row>
    <row r="77" ht="15.0" customHeight="1">
      <c r="A77" s="9"/>
      <c r="B77" s="10" t="s">
        <v>22</v>
      </c>
      <c r="C77" s="11">
        <f>'proyección hogares'!Q241*'provincia (%)'!K150</f>
        <v>5264.765268</v>
      </c>
      <c r="D77" s="11">
        <f>'proyección hogares'!P241*'provincia (%)'!K150</f>
        <v>5379.490652</v>
      </c>
      <c r="E77" s="11">
        <f>'proyección hogares'!O241*'provincia (%)'!K150</f>
        <v>5486.393851</v>
      </c>
      <c r="F77" s="11">
        <f>'proyección hogares'!N241*'provincia (%)'!K150</f>
        <v>5591.341504</v>
      </c>
      <c r="G77" s="11">
        <f>'proyección hogares'!M241*'provincia (%)'!K150</f>
        <v>5694.33361</v>
      </c>
      <c r="H77" s="11">
        <f>'proyección hogares'!L241*'provincia (%)'!K150</f>
        <v>5795.37017</v>
      </c>
      <c r="I77" s="11">
        <f>'proyección hogares'!K241*'provincia (%)'!K150</f>
        <v>5895.103033</v>
      </c>
      <c r="J77" s="11">
        <f>'proyección hogares'!J241*'provincia (%)'!K150</f>
        <v>5987.665559</v>
      </c>
      <c r="K77" s="11">
        <f>'proyección hogares'!I241*'provincia (%)'!K150</f>
        <v>6076.534275</v>
      </c>
      <c r="L77" s="11">
        <f>'proyección hogares'!H241*'provincia (%)'!K150</f>
        <v>6164.751143</v>
      </c>
      <c r="M77" s="11">
        <f>'proyección hogares'!G241*'provincia (%)'!K150</f>
        <v>6249.926049</v>
      </c>
      <c r="N77" s="11">
        <f>'proyección hogares'!F241*'provincia (%)'!K150</f>
        <v>6330.538014</v>
      </c>
      <c r="O77" s="11">
        <f>'proyección hogares'!E241*'provincia (%)'!K150</f>
        <v>6409.628999</v>
      </c>
      <c r="P77" s="11">
        <f>'proyección hogares'!D241*'provincia (%)'!K150</f>
        <v>6485.678022</v>
      </c>
      <c r="Q77" s="11">
        <f>'proyección hogares'!C241*'provincia (%)'!K150</f>
        <v>6559.119651</v>
      </c>
      <c r="R77" s="11">
        <f>'proyección hogares'!B241*'provincia (%)'!K150</f>
        <v>6624.739094</v>
      </c>
    </row>
    <row r="78" ht="15.0" customHeight="1">
      <c r="A78" s="12"/>
      <c r="B78" s="13" t="s">
        <v>23</v>
      </c>
      <c r="C78" s="14">
        <f>'proyección hogares'!Q241*'provincia (%)'!K151</f>
        <v>11066.96681</v>
      </c>
      <c r="D78" s="14">
        <f>'proyección hogares'!P241*'provincia (%)'!K151</f>
        <v>11308.12894</v>
      </c>
      <c r="E78" s="14">
        <f>'proyección hogares'!O241*'provincia (%)'!K151</f>
        <v>11532.8482</v>
      </c>
      <c r="F78" s="14">
        <f>'proyección hogares'!N241*'provincia (%)'!K151</f>
        <v>11753.45675</v>
      </c>
      <c r="G78" s="14">
        <f>'proyección hogares'!M241*'provincia (%)'!K151</f>
        <v>11969.95457</v>
      </c>
      <c r="H78" s="14">
        <f>'proyección hogares'!L241*'provincia (%)'!K151</f>
        <v>12182.34168</v>
      </c>
      <c r="I78" s="14">
        <f>'proyección hogares'!K241*'provincia (%)'!K151</f>
        <v>12391.9883</v>
      </c>
      <c r="J78" s="14">
        <f>'proyección hogares'!J241*'provincia (%)'!K151</f>
        <v>12586.5623</v>
      </c>
      <c r="K78" s="14">
        <f>'proyección hogares'!I241*'provincia (%)'!K151</f>
        <v>12773.3716</v>
      </c>
      <c r="L78" s="14">
        <f>'proyección hogares'!H241*'provincia (%)'!K151</f>
        <v>12958.81066</v>
      </c>
      <c r="M78" s="14">
        <f>'proyección hogares'!G241*'provincia (%)'!K151</f>
        <v>13137.85528</v>
      </c>
      <c r="N78" s="14">
        <f>'proyección hogares'!F241*'provincia (%)'!K151</f>
        <v>13307.30822</v>
      </c>
      <c r="O78" s="14">
        <f>'proyección hogares'!E241*'provincia (%)'!K151</f>
        <v>13473.56393</v>
      </c>
      <c r="P78" s="14">
        <f>'proyección hogares'!D241*'provincia (%)'!K151</f>
        <v>13633.42519</v>
      </c>
      <c r="Q78" s="14">
        <f>'proyección hogares'!C241*'provincia (%)'!K151</f>
        <v>13787.8055</v>
      </c>
      <c r="R78" s="14">
        <f>'proyección hogares'!B241*'provincia (%)'!K151</f>
        <v>13925.74293</v>
      </c>
    </row>
    <row r="79" ht="15.0" customHeight="1">
      <c r="A79" s="6" t="s">
        <v>47</v>
      </c>
      <c r="B79" s="7" t="s">
        <v>21</v>
      </c>
      <c r="C79" s="8">
        <f>'proyección hogares'!Q248*'provincia (%)'!K33</f>
        <v>10418.21994</v>
      </c>
      <c r="D79" s="8">
        <f>'proyección hogares'!P248*'provincia (%)'!K33</f>
        <v>10646.04839</v>
      </c>
      <c r="E79" s="8">
        <f>'proyección hogares'!O248*'provincia (%)'!K33</f>
        <v>10873.10323</v>
      </c>
      <c r="F79" s="8">
        <f>'proyección hogares'!N248*'provincia (%)'!K33</f>
        <v>11097.83724</v>
      </c>
      <c r="G79" s="8">
        <f>'proyección hogares'!M248*'provincia (%)'!K33</f>
        <v>11311.35389</v>
      </c>
      <c r="H79" s="8">
        <f>'proyección hogares'!L248*'provincia (%)'!K33</f>
        <v>11533.76707</v>
      </c>
      <c r="I79" s="8">
        <f>'proyección hogares'!K248*'provincia (%)'!K33</f>
        <v>11743.41566</v>
      </c>
      <c r="J79" s="8">
        <f>'proyección hogares'!J248*'provincia (%)'!K33</f>
        <v>11939.52606</v>
      </c>
      <c r="K79" s="8">
        <f>'proyección hogares'!I248*'provincia (%)'!K33</f>
        <v>12126.35313</v>
      </c>
      <c r="L79" s="8">
        <f>'proyección hogares'!H248*'provincia (%)'!K33</f>
        <v>12314.34061</v>
      </c>
      <c r="M79" s="8">
        <f>'proyección hogares'!G248*'provincia (%)'!K33</f>
        <v>12494.20518</v>
      </c>
      <c r="N79" s="8">
        <f>'proyección hogares'!F248*'provincia (%)'!K33</f>
        <v>12672.13572</v>
      </c>
      <c r="O79" s="8">
        <f>'proyección hogares'!E248*'provincia (%)'!K33</f>
        <v>12854.70793</v>
      </c>
      <c r="P79" s="8">
        <f>'proyección hogares'!D248*'provincia (%)'!K33</f>
        <v>13030.70444</v>
      </c>
      <c r="Q79" s="8">
        <f>'proyección hogares'!C248*'provincia (%)'!K33</f>
        <v>13204.38012</v>
      </c>
      <c r="R79" s="8">
        <f>'proyección hogares'!B248*'provincia (%)'!K33</f>
        <v>13378.82941</v>
      </c>
    </row>
    <row r="80" ht="15.0" customHeight="1">
      <c r="A80" s="9"/>
      <c r="B80" s="10" t="s">
        <v>22</v>
      </c>
      <c r="C80" s="11">
        <f>'proyección hogares'!Q248*'provincia (%)'!K34</f>
        <v>5796.075888</v>
      </c>
      <c r="D80" s="11">
        <f>'proyección hogares'!P248*'provincia (%)'!K34</f>
        <v>5922.826044</v>
      </c>
      <c r="E80" s="11">
        <f>'proyección hogares'!O248*'provincia (%)'!K34</f>
        <v>6049.145809</v>
      </c>
      <c r="F80" s="11">
        <f>'proyección hogares'!N248*'provincia (%)'!K34</f>
        <v>6174.174401</v>
      </c>
      <c r="G80" s="11">
        <f>'proyección hogares'!M248*'provincia (%)'!K34</f>
        <v>6292.962323</v>
      </c>
      <c r="H80" s="11">
        <f>'proyección hogares'!L248*'provincia (%)'!K34</f>
        <v>6416.699742</v>
      </c>
      <c r="I80" s="11">
        <f>'proyección hogares'!K248*'provincia (%)'!K34</f>
        <v>6533.335709</v>
      </c>
      <c r="J80" s="11">
        <f>'proyección hogares'!J248*'provincia (%)'!K34</f>
        <v>6642.439833</v>
      </c>
      <c r="K80" s="11">
        <f>'proyección hogares'!I248*'provincia (%)'!K34</f>
        <v>6746.379264</v>
      </c>
      <c r="L80" s="11">
        <f>'proyección hogares'!H248*'provincia (%)'!K34</f>
        <v>6850.964283</v>
      </c>
      <c r="M80" s="11">
        <f>'proyección hogares'!G248*'provincia (%)'!K34</f>
        <v>6951.030195</v>
      </c>
      <c r="N80" s="11">
        <f>'proyección hogares'!F248*'provincia (%)'!K34</f>
        <v>7050.02013</v>
      </c>
      <c r="O80" s="11">
        <f>'proyección hogares'!E248*'provincia (%)'!K34</f>
        <v>7151.592411</v>
      </c>
      <c r="P80" s="11">
        <f>'proyección hogares'!D248*'provincia (%)'!K34</f>
        <v>7249.506369</v>
      </c>
      <c r="Q80" s="11">
        <f>'proyección hogares'!C248*'provincia (%)'!K34</f>
        <v>7346.129153</v>
      </c>
      <c r="R80" s="11">
        <f>'proyección hogares'!B248*'provincia (%)'!K34</f>
        <v>7443.182328</v>
      </c>
    </row>
    <row r="81" ht="15.0" customHeight="1">
      <c r="A81" s="12"/>
      <c r="B81" s="13" t="s">
        <v>23</v>
      </c>
      <c r="C81" s="14">
        <f>'proyección hogares'!Q248*'provincia (%)'!K35</f>
        <v>15767.46219</v>
      </c>
      <c r="D81" s="14">
        <f>'proyección hogares'!P248*'provincia (%)'!K35</f>
        <v>16112.26932</v>
      </c>
      <c r="E81" s="14">
        <f>'proyección hogares'!O248*'provincia (%)'!K35</f>
        <v>16455.90563</v>
      </c>
      <c r="F81" s="14">
        <f>'proyección hogares'!N248*'provincia (%)'!K35</f>
        <v>16796.02947</v>
      </c>
      <c r="G81" s="14">
        <f>'proyección hogares'!M248*'provincia (%)'!K35</f>
        <v>17119.17639</v>
      </c>
      <c r="H81" s="14">
        <f>'proyección hogares'!L248*'provincia (%)'!K35</f>
        <v>17455.78776</v>
      </c>
      <c r="I81" s="14">
        <f>'proyección hogares'!K248*'provincia (%)'!K35</f>
        <v>17773.08057</v>
      </c>
      <c r="J81" s="14">
        <f>'proyección hogares'!J248*'provincia (%)'!K35</f>
        <v>18069.88399</v>
      </c>
      <c r="K81" s="14">
        <f>'proyección hogares'!I248*'provincia (%)'!K35</f>
        <v>18352.63754</v>
      </c>
      <c r="L81" s="14">
        <f>'proyección hogares'!H248*'provincia (%)'!K35</f>
        <v>18637.14733</v>
      </c>
      <c r="M81" s="14">
        <f>'proyección hogares'!G248*'provincia (%)'!K35</f>
        <v>18909.36349</v>
      </c>
      <c r="N81" s="14">
        <f>'proyección hogares'!F248*'provincia (%)'!K35</f>
        <v>19178.65259</v>
      </c>
      <c r="O81" s="14">
        <f>'proyección hogares'!E248*'provincia (%)'!K35</f>
        <v>19454.96662</v>
      </c>
      <c r="P81" s="14">
        <f>'proyección hogares'!D248*'provincia (%)'!K35</f>
        <v>19721.32866</v>
      </c>
      <c r="Q81" s="14">
        <f>'proyección hogares'!C248*'provincia (%)'!K35</f>
        <v>19984.17824</v>
      </c>
      <c r="R81" s="14">
        <f>'proyección hogares'!B248*'provincia (%)'!K35</f>
        <v>20248.19864</v>
      </c>
    </row>
    <row r="82" ht="15.0" customHeight="1">
      <c r="A82" s="6" t="s">
        <v>48</v>
      </c>
      <c r="B82" s="7" t="s">
        <v>21</v>
      </c>
      <c r="C82" s="8">
        <f>'proyección hogares'!Q255*'provincia (%)'!K205</f>
        <v>11962.77218</v>
      </c>
      <c r="D82" s="8">
        <f>'proyección hogares'!P255*'provincia (%)'!K205</f>
        <v>12172.02632</v>
      </c>
      <c r="E82" s="8">
        <f>'proyección hogares'!O255*'provincia (%)'!K205</f>
        <v>12372.25382</v>
      </c>
      <c r="F82" s="8">
        <f>'proyección hogares'!N255*'provincia (%)'!K205</f>
        <v>12550.73529</v>
      </c>
      <c r="G82" s="8">
        <f>'proyección hogares'!M255*'provincia (%)'!K205</f>
        <v>12735.78161</v>
      </c>
      <c r="H82" s="8">
        <f>'proyección hogares'!L255*'provincia (%)'!K205</f>
        <v>12931.08547</v>
      </c>
      <c r="I82" s="8">
        <f>'proyección hogares'!K255*'provincia (%)'!K205</f>
        <v>13103.00211</v>
      </c>
      <c r="J82" s="8">
        <f>'proyección hogares'!J255*'provincia (%)'!K205</f>
        <v>13267.53331</v>
      </c>
      <c r="K82" s="8">
        <f>'proyección hogares'!I255*'provincia (%)'!K205</f>
        <v>13417.29363</v>
      </c>
      <c r="L82" s="8">
        <f>'proyección hogares'!H255*'provincia (%)'!K205</f>
        <v>13576.4909</v>
      </c>
      <c r="M82" s="8">
        <f>'proyección hogares'!G255*'provincia (%)'!K205</f>
        <v>13722.1482</v>
      </c>
      <c r="N82" s="8">
        <f>'proyección hogares'!F255*'provincia (%)'!K205</f>
        <v>13864.11277</v>
      </c>
      <c r="O82" s="8">
        <f>'proyección hogares'!E255*'provincia (%)'!K205</f>
        <v>14001.97433</v>
      </c>
      <c r="P82" s="8">
        <f>'proyección hogares'!D255*'provincia (%)'!K205</f>
        <v>14146.40071</v>
      </c>
      <c r="Q82" s="8">
        <f>'proyección hogares'!C255*'provincia (%)'!K205</f>
        <v>14283.03136</v>
      </c>
      <c r="R82" s="8">
        <f>'proyección hogares'!B255*'provincia (%)'!K205</f>
        <v>14420.89292</v>
      </c>
    </row>
    <row r="83" ht="15.0" customHeight="1">
      <c r="A83" s="9"/>
      <c r="B83" s="10" t="s">
        <v>22</v>
      </c>
      <c r="C83" s="11">
        <f>'proyección hogares'!Q255*'provincia (%)'!K206</f>
        <v>7811.52433</v>
      </c>
      <c r="D83" s="11">
        <f>'proyección hogares'!P255*'provincia (%)'!K206</f>
        <v>7948.164384</v>
      </c>
      <c r="E83" s="11">
        <f>'proyección hogares'!O255*'provincia (%)'!K206</f>
        <v>8078.910161</v>
      </c>
      <c r="F83" s="11">
        <f>'proyección hogares'!N255*'provincia (%)'!K206</f>
        <v>8195.456089</v>
      </c>
      <c r="G83" s="11">
        <f>'proyección hogares'!M255*'provincia (%)'!K206</f>
        <v>8316.288764</v>
      </c>
      <c r="H83" s="11">
        <f>'proyección hogares'!L255*'provincia (%)'!K206</f>
        <v>8443.819481</v>
      </c>
      <c r="I83" s="11">
        <f>'proyección hogares'!K255*'provincia (%)'!K206</f>
        <v>8556.078662</v>
      </c>
      <c r="J83" s="11">
        <f>'proyección hogares'!J255*'provincia (%)'!K206</f>
        <v>8663.515253</v>
      </c>
      <c r="K83" s="11">
        <f>'proyección hogares'!I255*'provincia (%)'!K206</f>
        <v>8761.306664</v>
      </c>
      <c r="L83" s="11">
        <f>'proyección hogares'!H255*'provincia (%)'!K206</f>
        <v>8865.260274</v>
      </c>
      <c r="M83" s="11">
        <f>'proyección hogares'!G255*'provincia (%)'!K206</f>
        <v>8960.372468</v>
      </c>
      <c r="N83" s="11">
        <f>'proyección hogares'!F255*'provincia (%)'!K206</f>
        <v>9053.073368</v>
      </c>
      <c r="O83" s="11">
        <f>'proyección hogares'!E255*'provincia (%)'!K206</f>
        <v>9143.09505</v>
      </c>
      <c r="P83" s="11">
        <f>'proyección hogares'!D255*'provincia (%)'!K206</f>
        <v>9237.403479</v>
      </c>
      <c r="Q83" s="11">
        <f>'proyección hogares'!C255*'provincia (%)'!K206</f>
        <v>9326.621397</v>
      </c>
      <c r="R83" s="11">
        <f>'proyección hogares'!B255*'provincia (%)'!K206</f>
        <v>9416.643079</v>
      </c>
    </row>
    <row r="84" ht="15.0" customHeight="1">
      <c r="A84" s="12"/>
      <c r="B84" s="13" t="s">
        <v>23</v>
      </c>
      <c r="C84" s="14">
        <f>'proyección hogares'!Q255*'provincia (%)'!K207</f>
        <v>15846.99788</v>
      </c>
      <c r="D84" s="14">
        <f>'proyección hogares'!P255*'provincia (%)'!K207</f>
        <v>16124.19533</v>
      </c>
      <c r="E84" s="14">
        <f>'proyección hogares'!O255*'provincia (%)'!K207</f>
        <v>16389.43524</v>
      </c>
      <c r="F84" s="14">
        <f>'proyección hogares'!N255*'provincia (%)'!K207</f>
        <v>16625.86837</v>
      </c>
      <c r="G84" s="14">
        <f>'proyección hogares'!M255*'provincia (%)'!K207</f>
        <v>16870.99788</v>
      </c>
      <c r="H84" s="14">
        <f>'proyección hogares'!L255*'provincia (%)'!K207</f>
        <v>17129.7155</v>
      </c>
      <c r="I84" s="14">
        <f>'proyección hogares'!K255*'provincia (%)'!K207</f>
        <v>17357.45223</v>
      </c>
      <c r="J84" s="14">
        <f>'proyección hogares'!J255*'provincia (%)'!K207</f>
        <v>17575.40552</v>
      </c>
      <c r="K84" s="14">
        <f>'proyección hogares'!I255*'provincia (%)'!K207</f>
        <v>17773.79193</v>
      </c>
      <c r="L84" s="14">
        <f>'proyección hogares'!H255*'provincia (%)'!K207</f>
        <v>17984.67941</v>
      </c>
      <c r="M84" s="14">
        <f>'proyección hogares'!G255*'provincia (%)'!K207</f>
        <v>18177.63057</v>
      </c>
      <c r="N84" s="14">
        <f>'proyección hogares'!F255*'provincia (%)'!K207</f>
        <v>18365.69002</v>
      </c>
      <c r="O84" s="14">
        <f>'proyección hogares'!E255*'provincia (%)'!K207</f>
        <v>18548.31423</v>
      </c>
      <c r="P84" s="14">
        <f>'proyección hogares'!D255*'provincia (%)'!K207</f>
        <v>18739.63482</v>
      </c>
      <c r="Q84" s="14">
        <f>'proyección hogares'!C255*'provincia (%)'!K207</f>
        <v>18920.62845</v>
      </c>
      <c r="R84" s="14">
        <f>'proyección hogares'!B255*'provincia (%)'!K207</f>
        <v>19103.25265</v>
      </c>
    </row>
    <row r="85" ht="15.0" customHeight="1">
      <c r="A85" s="6" t="s">
        <v>49</v>
      </c>
      <c r="B85" s="7" t="s">
        <v>21</v>
      </c>
      <c r="C85" s="8">
        <f>'proyección hogares'!Q262*'provincia (%)'!K201</f>
        <v>24794.91776</v>
      </c>
      <c r="D85" s="8">
        <f>'proyección hogares'!P262*'provincia (%)'!K201</f>
        <v>25528.28307</v>
      </c>
      <c r="E85" s="8">
        <f>'proyección hogares'!O262*'provincia (%)'!K201</f>
        <v>26263.42322</v>
      </c>
      <c r="F85" s="8">
        <f>'proyección hogares'!N262*'provincia (%)'!K201</f>
        <v>26957.387</v>
      </c>
      <c r="G85" s="8">
        <f>'proyección hogares'!M262*'provincia (%)'!K201</f>
        <v>27650.64085</v>
      </c>
      <c r="H85" s="8">
        <f>'proyección hogares'!L262*'provincia (%)'!K201</f>
        <v>28347.79935</v>
      </c>
      <c r="I85" s="8">
        <f>'proyección hogares'!K262*'provincia (%)'!K201</f>
        <v>29013.7206</v>
      </c>
      <c r="J85" s="8">
        <f>'proyección hogares'!J262*'provincia (%)'!K201</f>
        <v>29654.08412</v>
      </c>
      <c r="K85" s="8">
        <f>'proyección hogares'!I262*'provincia (%)'!K201</f>
        <v>30250.43151</v>
      </c>
      <c r="L85" s="8">
        <f>'proyección hogares'!H262*'provincia (%)'!K201</f>
        <v>30840.0345</v>
      </c>
      <c r="M85" s="8">
        <f>'proyección hogares'!G262*'provincia (%)'!K201</f>
        <v>31400.53006</v>
      </c>
      <c r="N85" s="8">
        <f>'proyección hogares'!F262*'provincia (%)'!K201</f>
        <v>31940.08246</v>
      </c>
      <c r="O85" s="8">
        <f>'proyección hogares'!E262*'provincia (%)'!K201</f>
        <v>32461.53146</v>
      </c>
      <c r="P85" s="8">
        <f>'proyección hogares'!D262*'provincia (%)'!K201</f>
        <v>32988.30499</v>
      </c>
      <c r="Q85" s="8">
        <f>'proyección hogares'!C262*'provincia (%)'!K201</f>
        <v>33474.25713</v>
      </c>
      <c r="R85" s="8">
        <f>'proyección hogares'!B262*'provincia (%)'!K201</f>
        <v>33935.00648</v>
      </c>
    </row>
    <row r="86" ht="15.0" customHeight="1">
      <c r="A86" s="9"/>
      <c r="B86" s="10" t="s">
        <v>22</v>
      </c>
      <c r="C86" s="11">
        <f>'proyección hogares'!Q262*'provincia (%)'!K202</f>
        <v>14702.0793</v>
      </c>
      <c r="D86" s="11">
        <f>'proyección hogares'!P262*'provincia (%)'!K202</f>
        <v>15136.92627</v>
      </c>
      <c r="E86" s="11">
        <f>'proyección hogares'!O262*'provincia (%)'!K202</f>
        <v>15572.82563</v>
      </c>
      <c r="F86" s="11">
        <f>'proyección hogares'!N262*'provincia (%)'!K202</f>
        <v>15984.30958</v>
      </c>
      <c r="G86" s="11">
        <f>'proyección hogares'!M262*'provincia (%)'!K202</f>
        <v>16395.37257</v>
      </c>
      <c r="H86" s="11">
        <f>'proyección hogares'!L262*'provincia (%)'!K202</f>
        <v>16808.75081</v>
      </c>
      <c r="I86" s="11">
        <f>'proyección hogares'!K262*'provincia (%)'!K202</f>
        <v>17203.60702</v>
      </c>
      <c r="J86" s="11">
        <f>'proyección hogares'!J262*'provincia (%)'!K202</f>
        <v>17583.30883</v>
      </c>
      <c r="K86" s="11">
        <f>'proyección hogares'!I262*'provincia (%)'!K202</f>
        <v>17936.9114</v>
      </c>
      <c r="L86" s="11">
        <f>'proyección hogares'!H262*'provincia (%)'!K202</f>
        <v>18286.51489</v>
      </c>
      <c r="M86" s="11">
        <f>'proyección hogares'!G262*'provincia (%)'!K202</f>
        <v>18618.85921</v>
      </c>
      <c r="N86" s="11">
        <f>'proyección hogares'!F262*'provincia (%)'!K202</f>
        <v>18938.78535</v>
      </c>
      <c r="O86" s="11">
        <f>'proyección hogares'!E262*'provincia (%)'!K202</f>
        <v>19247.97712</v>
      </c>
      <c r="P86" s="11">
        <f>'proyección hogares'!D262*'provincia (%)'!K202</f>
        <v>19560.32606</v>
      </c>
      <c r="Q86" s="11">
        <f>'proyección hogares'!C262*'provincia (%)'!K202</f>
        <v>19848.47006</v>
      </c>
      <c r="R86" s="11">
        <f>'proyección hogares'!B262*'provincia (%)'!K202</f>
        <v>20121.67014</v>
      </c>
    </row>
    <row r="87" ht="15.0" customHeight="1">
      <c r="A87" s="12"/>
      <c r="B87" s="13" t="s">
        <v>23</v>
      </c>
      <c r="C87" s="14">
        <f>'proyección hogares'!Q262*'provincia (%)'!K203</f>
        <v>33279.01788</v>
      </c>
      <c r="D87" s="14">
        <f>'proyección hogares'!P262*'provincia (%)'!K203</f>
        <v>34263.31948</v>
      </c>
      <c r="E87" s="14">
        <f>'proyección hogares'!O262*'provincia (%)'!K203</f>
        <v>35250.00322</v>
      </c>
      <c r="F87" s="14">
        <f>'proyección hogares'!N262*'provincia (%)'!K203</f>
        <v>36181.42124</v>
      </c>
      <c r="G87" s="14">
        <f>'proyección hogares'!M262*'provincia (%)'!K203</f>
        <v>37111.8864</v>
      </c>
      <c r="H87" s="14">
        <f>'proyección hogares'!L262*'provincia (%)'!K203</f>
        <v>38047.59227</v>
      </c>
      <c r="I87" s="14">
        <f>'proyección hogares'!K262*'provincia (%)'!K203</f>
        <v>38941.37243</v>
      </c>
      <c r="J87" s="14">
        <f>'proyección hogares'!J262*'provincia (%)'!K203</f>
        <v>39800.84972</v>
      </c>
      <c r="K87" s="14">
        <f>'proyección hogares'!I262*'provincia (%)'!K203</f>
        <v>40601.24986</v>
      </c>
      <c r="L87" s="14">
        <f>'proyección hogares'!H262*'provincia (%)'!K203</f>
        <v>41392.59785</v>
      </c>
      <c r="M87" s="14">
        <f>'proyección hogares'!G262*'provincia (%)'!K203</f>
        <v>42144.87869</v>
      </c>
      <c r="N87" s="14">
        <f>'proyección hogares'!F262*'provincia (%)'!K203</f>
        <v>42869.05025</v>
      </c>
      <c r="O87" s="14">
        <f>'proyección hogares'!E262*'provincia (%)'!K203</f>
        <v>43568.92394</v>
      </c>
      <c r="P87" s="14">
        <f>'proyección hogares'!D262*'provincia (%)'!K203</f>
        <v>44275.94406</v>
      </c>
      <c r="Q87" s="14">
        <f>'proyección hogares'!C262*'provincia (%)'!K203</f>
        <v>44928.17489</v>
      </c>
      <c r="R87" s="14">
        <f>'proyección hogares'!B262*'provincia (%)'!K203</f>
        <v>45546.57928</v>
      </c>
    </row>
    <row r="88" ht="15.0" customHeight="1">
      <c r="A88" s="6" t="s">
        <v>50</v>
      </c>
      <c r="B88" s="7" t="s">
        <v>21</v>
      </c>
      <c r="C88" s="8">
        <f>'proyección hogares'!Q269*'provincia (%)'!K165</f>
        <v>21166.43759</v>
      </c>
      <c r="D88" s="8">
        <f>'proyección hogares'!P269*'provincia (%)'!K165</f>
        <v>21705.74299</v>
      </c>
      <c r="E88" s="8">
        <f>'proyección hogares'!O269*'provincia (%)'!K165</f>
        <v>22243.84904</v>
      </c>
      <c r="F88" s="8">
        <f>'proyección hogares'!N269*'provincia (%)'!K165</f>
        <v>22745.17519</v>
      </c>
      <c r="G88" s="8">
        <f>'proyección hogares'!M269*'provincia (%)'!K165</f>
        <v>23242.10373</v>
      </c>
      <c r="H88" s="8">
        <f>'proyección hogares'!L269*'provincia (%)'!K165</f>
        <v>23735.83403</v>
      </c>
      <c r="I88" s="8">
        <f>'proyección hogares'!K269*'provincia (%)'!K165</f>
        <v>24195.98267</v>
      </c>
      <c r="J88" s="8">
        <f>'proyección hogares'!J269*'provincia (%)'!K165</f>
        <v>24631.34484</v>
      </c>
      <c r="K88" s="8">
        <f>'proyección hogares'!I269*'provincia (%)'!K165</f>
        <v>25041.92056</v>
      </c>
      <c r="L88" s="8">
        <f>'proyección hogares'!H269*'provincia (%)'!K165</f>
        <v>25437.70436</v>
      </c>
      <c r="M88" s="8">
        <f>'proyección hogares'!G269*'provincia (%)'!K165</f>
        <v>25805.10366</v>
      </c>
      <c r="N88" s="8">
        <f>'proyección hogares'!F269*'provincia (%)'!K165</f>
        <v>26166.10646</v>
      </c>
      <c r="O88" s="8">
        <f>'proyección hogares'!E269*'provincia (%)'!K165</f>
        <v>26524.71057</v>
      </c>
      <c r="P88" s="8">
        <f>'proyección hogares'!D269*'provincia (%)'!K165</f>
        <v>26874.51948</v>
      </c>
      <c r="Q88" s="8">
        <f>'proyección hogares'!C269*'provincia (%)'!K165</f>
        <v>27207.13779</v>
      </c>
      <c r="R88" s="8">
        <f>'proyección hogares'!B269*'provincia (%)'!K165</f>
        <v>27534.95871</v>
      </c>
    </row>
    <row r="89" ht="15.0" customHeight="1">
      <c r="A89" s="9"/>
      <c r="B89" s="10" t="s">
        <v>22</v>
      </c>
      <c r="C89" s="11">
        <f>'proyección hogares'!Q269*'provincia (%)'!K166</f>
        <v>15240.43543</v>
      </c>
      <c r="D89" s="11">
        <f>'proyección hogares'!P269*'provincia (%)'!K166</f>
        <v>15628.75062</v>
      </c>
      <c r="E89" s="11">
        <f>'proyección hogares'!O269*'provincia (%)'!K166</f>
        <v>16016.20224</v>
      </c>
      <c r="F89" s="11">
        <f>'proyección hogares'!N269*'provincia (%)'!K166</f>
        <v>16377.17128</v>
      </c>
      <c r="G89" s="11">
        <f>'proyección hogares'!M269*'provincia (%)'!K166</f>
        <v>16734.97393</v>
      </c>
      <c r="H89" s="11">
        <f>'proyección hogares'!L269*'provincia (%)'!K166</f>
        <v>17090.47375</v>
      </c>
      <c r="I89" s="11">
        <f>'proyección hogares'!K269*'provincia (%)'!K166</f>
        <v>17421.79382</v>
      </c>
      <c r="J89" s="11">
        <f>'proyección hogares'!J269*'provincia (%)'!K166</f>
        <v>17735.26694</v>
      </c>
      <c r="K89" s="11">
        <f>'proyección hogares'!I269*'provincia (%)'!K166</f>
        <v>18030.8931</v>
      </c>
      <c r="L89" s="11">
        <f>'proyección hogares'!H269*'provincia (%)'!K166</f>
        <v>18315.86866</v>
      </c>
      <c r="M89" s="11">
        <f>'proyección hogares'!G269*'provincia (%)'!K166</f>
        <v>18580.40658</v>
      </c>
      <c r="N89" s="11">
        <f>'proyección hogares'!F269*'provincia (%)'!K166</f>
        <v>18840.33883</v>
      </c>
      <c r="O89" s="11">
        <f>'proyección hogares'!E269*'provincia (%)'!K166</f>
        <v>19098.54396</v>
      </c>
      <c r="P89" s="11">
        <f>'proyección hogares'!D269*'provincia (%)'!K166</f>
        <v>19350.4163</v>
      </c>
      <c r="Q89" s="11">
        <f>'proyección hogares'!C269*'provincia (%)'!K166</f>
        <v>19589.91092</v>
      </c>
      <c r="R89" s="11">
        <f>'proyección hogares'!B269*'provincia (%)'!K166</f>
        <v>19825.95128</v>
      </c>
    </row>
    <row r="90" ht="15.0" customHeight="1">
      <c r="A90" s="12"/>
      <c r="B90" s="13" t="s">
        <v>23</v>
      </c>
      <c r="C90" s="14">
        <f>'proyección hogares'!Q269*'provincia (%)'!K167</f>
        <v>25691.02399</v>
      </c>
      <c r="D90" s="14">
        <f>'proyección hogares'!P269*'provincia (%)'!K167</f>
        <v>26345.61255</v>
      </c>
      <c r="E90" s="14">
        <f>'proyección hogares'!O269*'provincia (%)'!K167</f>
        <v>26998.74539</v>
      </c>
      <c r="F90" s="14">
        <f>'proyección hogares'!N269*'provincia (%)'!K167</f>
        <v>27607.23616</v>
      </c>
      <c r="G90" s="14">
        <f>'proyección hogares'!M269*'provincia (%)'!K167</f>
        <v>28210.3893</v>
      </c>
      <c r="H90" s="14">
        <f>'proyección hogares'!L269*'provincia (%)'!K167</f>
        <v>28809.66052</v>
      </c>
      <c r="I90" s="14">
        <f>'proyección hogares'!K269*'provincia (%)'!K167</f>
        <v>29368.17159</v>
      </c>
      <c r="J90" s="14">
        <f>'proyección hogares'!J269*'provincia (%)'!K167</f>
        <v>29896.59779</v>
      </c>
      <c r="K90" s="14">
        <f>'proyección hogares'!I269*'provincia (%)'!K167</f>
        <v>30394.93911</v>
      </c>
      <c r="L90" s="14">
        <f>'proyección hogares'!H269*'provincia (%)'!K167</f>
        <v>30875.32657</v>
      </c>
      <c r="M90" s="14">
        <f>'proyección hogares'!G269*'provincia (%)'!K167</f>
        <v>31321.26199</v>
      </c>
      <c r="N90" s="14">
        <f>'proyección hogares'!F269*'provincia (%)'!K167</f>
        <v>31759.43358</v>
      </c>
      <c r="O90" s="14">
        <f>'proyección hogares'!E269*'provincia (%)'!K167</f>
        <v>32194.69373</v>
      </c>
      <c r="P90" s="14">
        <f>'proyección hogares'!D269*'provincia (%)'!K167</f>
        <v>32619.2786</v>
      </c>
      <c r="Q90" s="14">
        <f>'proyección hogares'!C269*'provincia (%)'!K167</f>
        <v>33022.99815</v>
      </c>
      <c r="R90" s="14">
        <f>'proyección hogares'!B269*'provincia (%)'!K167</f>
        <v>33420.89483</v>
      </c>
    </row>
    <row r="91" ht="15.0" customHeight="1">
      <c r="A91" s="6" t="s">
        <v>51</v>
      </c>
      <c r="B91" s="7" t="s">
        <v>21</v>
      </c>
      <c r="C91" s="8">
        <f>'proyección hogares'!Q276*'provincia (%)'!K117</f>
        <v>29291.50682</v>
      </c>
      <c r="D91" s="8">
        <f>'proyección hogares'!P276*'provincia (%)'!K117</f>
        <v>29943.15057</v>
      </c>
      <c r="E91" s="8">
        <f>'proyección hogares'!O276*'provincia (%)'!K117</f>
        <v>30584.37443</v>
      </c>
      <c r="F91" s="8">
        <f>'proyección hogares'!N276*'provincia (%)'!K117</f>
        <v>31193.13634</v>
      </c>
      <c r="G91" s="8">
        <f>'proyección hogares'!M276*'provincia (%)'!K117</f>
        <v>31777.05082</v>
      </c>
      <c r="H91" s="8">
        <f>'proyección hogares'!L276*'provincia (%)'!K117</f>
        <v>32370.98442</v>
      </c>
      <c r="I91" s="8">
        <f>'proyección hogares'!K276*'provincia (%)'!K117</f>
        <v>32937.26524</v>
      </c>
      <c r="J91" s="8">
        <f>'proyección hogares'!J276*'provincia (%)'!K117</f>
        <v>33473.08793</v>
      </c>
      <c r="K91" s="8">
        <f>'proyección hogares'!I276*'provincia (%)'!K117</f>
        <v>33994.08232</v>
      </c>
      <c r="L91" s="8">
        <f>'proyección hogares'!H276*'provincia (%)'!K117</f>
        <v>34491.43158</v>
      </c>
      <c r="M91" s="8">
        <f>'proyección hogares'!G276*'provincia (%)'!K117</f>
        <v>34968.34183</v>
      </c>
      <c r="N91" s="8">
        <f>'proyección hogares'!F276*'provincia (%)'!K117</f>
        <v>35438.43907</v>
      </c>
      <c r="O91" s="8">
        <f>'proyección hogares'!E276*'provincia (%)'!K117</f>
        <v>35907.73479</v>
      </c>
      <c r="P91" s="8">
        <f>'proyección hogares'!D276*'provincia (%)'!K117</f>
        <v>36360.59914</v>
      </c>
      <c r="Q91" s="8">
        <f>'proyección hogares'!C276*'provincia (%)'!K117</f>
        <v>36799.43672</v>
      </c>
      <c r="R91" s="8">
        <f>'proyección hogares'!B276*'provincia (%)'!K117</f>
        <v>37214.62917</v>
      </c>
    </row>
    <row r="92" ht="15.0" customHeight="1">
      <c r="A92" s="9"/>
      <c r="B92" s="10" t="s">
        <v>22</v>
      </c>
      <c r="C92" s="11">
        <f>'proyección hogares'!Q276*'provincia (%)'!K118</f>
        <v>18120.72764</v>
      </c>
      <c r="D92" s="11">
        <f>'proyección hogares'!P276*'provincia (%)'!K118</f>
        <v>18523.85674</v>
      </c>
      <c r="E92" s="11">
        <f>'proyección hogares'!O276*'provincia (%)'!K118</f>
        <v>18920.53975</v>
      </c>
      <c r="F92" s="11">
        <f>'proyección hogares'!N276*'provincia (%)'!K118</f>
        <v>19297.14068</v>
      </c>
      <c r="G92" s="11">
        <f>'proyección hogares'!M276*'provincia (%)'!K118</f>
        <v>19658.37014</v>
      </c>
      <c r="H92" s="11">
        <f>'proyección hogares'!L276*'provincia (%)'!K118</f>
        <v>20025.79777</v>
      </c>
      <c r="I92" s="11">
        <f>'proyección hogares'!K276*'provincia (%)'!K118</f>
        <v>20376.11845</v>
      </c>
      <c r="J92" s="11">
        <f>'proyección hogares'!J276*'provincia (%)'!K118</f>
        <v>20707.59669</v>
      </c>
      <c r="K92" s="11">
        <f>'proyección hogares'!I276*'provincia (%)'!K118</f>
        <v>21029.90163</v>
      </c>
      <c r="L92" s="11">
        <f>'proyección hogares'!H276*'provincia (%)'!K118</f>
        <v>21337.57889</v>
      </c>
      <c r="M92" s="11">
        <f>'proyección hogares'!G276*'provincia (%)'!K118</f>
        <v>21632.61187</v>
      </c>
      <c r="N92" s="11">
        <f>'proyección hogares'!F276*'provincia (%)'!K118</f>
        <v>21923.4301</v>
      </c>
      <c r="O92" s="11">
        <f>'proyección hogares'!E276*'provincia (%)'!K118</f>
        <v>22213.75248</v>
      </c>
      <c r="P92" s="11">
        <f>'proyección hogares'!D276*'provincia (%)'!K118</f>
        <v>22493.90985</v>
      </c>
      <c r="Q92" s="11">
        <f>'proyección hogares'!C276*'provincia (%)'!K118</f>
        <v>22765.38978</v>
      </c>
      <c r="R92" s="11">
        <f>'proyección hogares'!B276*'provincia (%)'!K118</f>
        <v>23022.24203</v>
      </c>
    </row>
    <row r="93" ht="15.0" customHeight="1">
      <c r="A93" s="12"/>
      <c r="B93" s="13" t="s">
        <v>23</v>
      </c>
      <c r="C93" s="14">
        <f>'proyección hogares'!Q276*'provincia (%)'!K119</f>
        <v>37558.15762</v>
      </c>
      <c r="D93" s="14">
        <f>'proyección hogares'!P276*'provincia (%)'!K119</f>
        <v>38393.7083</v>
      </c>
      <c r="E93" s="14">
        <f>'proyección hogares'!O276*'provincia (%)'!K119</f>
        <v>39215.8984</v>
      </c>
      <c r="F93" s="14">
        <f>'proyección hogares'!N276*'provincia (%)'!K119</f>
        <v>39996.46513</v>
      </c>
      <c r="G93" s="14">
        <f>'proyección hogares'!M276*'provincia (%)'!K119</f>
        <v>40745.17199</v>
      </c>
      <c r="H93" s="14">
        <f>'proyección hogares'!L276*'provincia (%)'!K119</f>
        <v>41506.72557</v>
      </c>
      <c r="I93" s="14">
        <f>'proyección hogares'!K276*'provincia (%)'!K119</f>
        <v>42232.8222</v>
      </c>
      <c r="J93" s="14">
        <f>'proyección hogares'!J276*'provincia (%)'!K119</f>
        <v>42919.8648</v>
      </c>
      <c r="K93" s="14">
        <f>'proyección hogares'!I276*'provincia (%)'!K119</f>
        <v>43587.89426</v>
      </c>
      <c r="L93" s="14">
        <f>'proyección hogares'!H276*'provincia (%)'!K119</f>
        <v>44225.60545</v>
      </c>
      <c r="M93" s="14">
        <f>'proyección hogares'!G276*'provincia (%)'!K119</f>
        <v>44837.10934</v>
      </c>
      <c r="N93" s="14">
        <f>'proyección hogares'!F276*'provincia (%)'!K119</f>
        <v>45439.87746</v>
      </c>
      <c r="O93" s="14">
        <f>'proyección hogares'!E276*'provincia (%)'!K119</f>
        <v>46041.61784</v>
      </c>
      <c r="P93" s="14">
        <f>'proyección hogares'!D276*'provincia (%)'!K119</f>
        <v>46622.28959</v>
      </c>
      <c r="Q93" s="14">
        <f>'proyección hogares'!C276*'provincia (%)'!K119</f>
        <v>47184.97594</v>
      </c>
      <c r="R93" s="14">
        <f>'proyección hogares'!B276*'provincia (%)'!K119</f>
        <v>47717.34403</v>
      </c>
    </row>
    <row r="94" ht="15.0" customHeight="1">
      <c r="A94" s="6" t="s">
        <v>52</v>
      </c>
      <c r="B94" s="7" t="s">
        <v>21</v>
      </c>
      <c r="C94" s="8">
        <f>'proyección hogares'!Q290*'provincia (%)'!K121</f>
        <v>15588.00006</v>
      </c>
      <c r="D94" s="8">
        <f>'proyección hogares'!P290*'provincia (%)'!K121</f>
        <v>16128.55042</v>
      </c>
      <c r="E94" s="8">
        <f>'proyección hogares'!O290*'provincia (%)'!K121</f>
        <v>16675.65101</v>
      </c>
      <c r="F94" s="8">
        <f>'proyección hogares'!N290*'provincia (%)'!K121</f>
        <v>17214.01796</v>
      </c>
      <c r="G94" s="8">
        <f>'proyección hogares'!M290*'provincia (%)'!K121</f>
        <v>17749.57766</v>
      </c>
      <c r="H94" s="8">
        <f>'proyección hogares'!L290*'provincia (%)'!K121</f>
        <v>18287.63269</v>
      </c>
      <c r="I94" s="8">
        <f>'proyección hogares'!K290*'provincia (%)'!K121</f>
        <v>18799.17486</v>
      </c>
      <c r="J94" s="8">
        <f>'proyección hogares'!J290*'provincia (%)'!K121</f>
        <v>19293.87357</v>
      </c>
      <c r="K94" s="8">
        <f>'proyección hogares'!I290*'provincia (%)'!K121</f>
        <v>19763.61901</v>
      </c>
      <c r="L94" s="8">
        <f>'proyección hogares'!H290*'provincia (%)'!K121</f>
        <v>20235.85977</v>
      </c>
      <c r="M94" s="8">
        <f>'proyección hogares'!G290*'provincia (%)'!K121</f>
        <v>20691.25707</v>
      </c>
      <c r="N94" s="8">
        <f>'proyección hogares'!F290*'provincia (%)'!K121</f>
        <v>21140.10413</v>
      </c>
      <c r="O94" s="8">
        <f>'proyección hogares'!E290*'provincia (%)'!K121</f>
        <v>21579.28181</v>
      </c>
      <c r="P94" s="8">
        <f>'proyección hogares'!D290*'provincia (%)'!K121</f>
        <v>22012.84499</v>
      </c>
      <c r="Q94" s="8">
        <f>'proyección hogares'!C290*'provincia (%)'!K121</f>
        <v>22434.86728</v>
      </c>
      <c r="R94" s="8">
        <f>'proyección hogares'!B290*'provincia (%)'!K121</f>
        <v>22840.35803</v>
      </c>
    </row>
    <row r="95" ht="15.0" customHeight="1">
      <c r="A95" s="9"/>
      <c r="B95" s="10" t="s">
        <v>22</v>
      </c>
      <c r="C95" s="11">
        <f>'proyección hogares'!Q290*'provincia (%)'!K122</f>
        <v>8964.173396</v>
      </c>
      <c r="D95" s="11">
        <f>'proyección hogares'!P290*'provincia (%)'!K122</f>
        <v>9275.027073</v>
      </c>
      <c r="E95" s="11">
        <f>'proyección hogares'!O290*'provincia (%)'!K122</f>
        <v>9589.647586</v>
      </c>
      <c r="F95" s="11">
        <f>'proyección hogares'!N290*'provincia (%)'!K122</f>
        <v>9899.245651</v>
      </c>
      <c r="G95" s="11">
        <f>'proyección hogares'!M290*'provincia (%)'!K122</f>
        <v>10207.22936</v>
      </c>
      <c r="H95" s="11">
        <f>'proyección hogares'!L290*'provincia (%)'!K122</f>
        <v>10516.64805</v>
      </c>
      <c r="I95" s="11">
        <f>'proyección hogares'!K290*'provincia (%)'!K122</f>
        <v>10810.82002</v>
      </c>
      <c r="J95" s="11">
        <f>'proyección hogares'!J290*'provincia (%)'!K122</f>
        <v>11095.30585</v>
      </c>
      <c r="K95" s="11">
        <f>'proyección hogares'!I290*'provincia (%)'!K122</f>
        <v>11365.44182</v>
      </c>
      <c r="L95" s="11">
        <f>'proyección hogares'!H290*'provincia (%)'!K122</f>
        <v>11637.01277</v>
      </c>
      <c r="M95" s="11">
        <f>'proyección hogares'!G290*'provincia (%)'!K122</f>
        <v>11898.89758</v>
      </c>
      <c r="N95" s="11">
        <f>'proyección hogares'!F290*'provincia (%)'!K122</f>
        <v>12157.01555</v>
      </c>
      <c r="O95" s="11">
        <f>'proyección hogares'!E290*'provincia (%)'!K122</f>
        <v>12409.57295</v>
      </c>
      <c r="P95" s="11">
        <f>'proyección hogares'!D290*'provincia (%)'!K122</f>
        <v>12658.90163</v>
      </c>
      <c r="Q95" s="11">
        <f>'proyección hogares'!C290*'provincia (%)'!K122</f>
        <v>12901.59351</v>
      </c>
      <c r="R95" s="11">
        <f>'proyección hogares'!B290*'provincia (%)'!K122</f>
        <v>13134.77861</v>
      </c>
    </row>
    <row r="96" ht="15.0" customHeight="1">
      <c r="A96" s="12"/>
      <c r="B96" s="13" t="s">
        <v>23</v>
      </c>
      <c r="C96" s="14">
        <f>'proyección hogares'!Q290*'provincia (%)'!K123</f>
        <v>24452.30842</v>
      </c>
      <c r="D96" s="14">
        <f>'proyección hogares'!P290*'provincia (%)'!K123</f>
        <v>25300.24941</v>
      </c>
      <c r="E96" s="14">
        <f>'proyección hogares'!O290*'provincia (%)'!K123</f>
        <v>26158.46549</v>
      </c>
      <c r="F96" s="14">
        <f>'proyección hogares'!N290*'provincia (%)'!K123</f>
        <v>27002.98144</v>
      </c>
      <c r="G96" s="14">
        <f>'proyección hogares'!M290*'provincia (%)'!K123</f>
        <v>27843.09376</v>
      </c>
      <c r="H96" s="14">
        <f>'proyección hogares'!L290*'provincia (%)'!K123</f>
        <v>28687.12042</v>
      </c>
      <c r="I96" s="14">
        <f>'proyección hogares'!K290*'provincia (%)'!K123</f>
        <v>29489.55735</v>
      </c>
      <c r="J96" s="14">
        <f>'proyección hogares'!J290*'provincia (%)'!K123</f>
        <v>30265.57258</v>
      </c>
      <c r="K96" s="14">
        <f>'proyección hogares'!I290*'provincia (%)'!K123</f>
        <v>31002.44455</v>
      </c>
      <c r="L96" s="14">
        <f>'proyección hogares'!H290*'provincia (%)'!K123</f>
        <v>31743.23084</v>
      </c>
      <c r="M96" s="14">
        <f>'proyección hogares'!G290*'provincia (%)'!K123</f>
        <v>32457.59543</v>
      </c>
      <c r="N96" s="14">
        <f>'proyección hogares'!F290*'provincia (%)'!K123</f>
        <v>33161.68491</v>
      </c>
      <c r="O96" s="14">
        <f>'proyección hogares'!E290*'provincia (%)'!K123</f>
        <v>33850.60638</v>
      </c>
      <c r="P96" s="14">
        <f>'proyección hogares'!D290*'provincia (%)'!K123</f>
        <v>34530.72061</v>
      </c>
      <c r="Q96" s="14">
        <f>'proyección hogares'!C290*'provincia (%)'!K123</f>
        <v>35192.73108</v>
      </c>
      <c r="R96" s="14">
        <f>'proyección hogares'!B290*'provincia (%)'!K123</f>
        <v>35828.80914</v>
      </c>
    </row>
    <row r="97" ht="15.0" customHeight="1">
      <c r="A97" s="6" t="s">
        <v>53</v>
      </c>
      <c r="B97" s="7" t="s">
        <v>21</v>
      </c>
      <c r="C97" s="8">
        <f>'proyección hogares'!Q297*'provincia (%)'!K93</f>
        <v>27333.3988</v>
      </c>
      <c r="D97" s="8">
        <f>'proyección hogares'!P297*'provincia (%)'!K93</f>
        <v>28388.11846</v>
      </c>
      <c r="E97" s="8">
        <f>'proyección hogares'!O297*'provincia (%)'!K93</f>
        <v>29445.08698</v>
      </c>
      <c r="F97" s="8">
        <f>'proyección hogares'!N297*'provincia (%)'!K93</f>
        <v>30489.52609</v>
      </c>
      <c r="G97" s="8">
        <f>'proyección hogares'!M297*'provincia (%)'!K93</f>
        <v>31521.75705</v>
      </c>
      <c r="H97" s="8">
        <f>'proyección hogares'!L297*'provincia (%)'!K93</f>
        <v>32553.02422</v>
      </c>
      <c r="I97" s="8">
        <f>'proyección hogares'!K297*'provincia (%)'!K93</f>
        <v>33525.49951</v>
      </c>
      <c r="J97" s="8">
        <f>'proyección hogares'!J297*'provincia (%)'!K93</f>
        <v>34473.23725</v>
      </c>
      <c r="K97" s="8">
        <f>'proyección hogares'!I297*'provincia (%)'!K93</f>
        <v>35388.52701</v>
      </c>
      <c r="L97" s="8">
        <f>'proyección hogares'!H297*'provincia (%)'!K93</f>
        <v>36286.46836</v>
      </c>
      <c r="M97" s="8">
        <f>'proyección hogares'!G297*'provincia (%)'!K93</f>
        <v>37153.88934</v>
      </c>
      <c r="N97" s="8">
        <f>'proyección hogares'!F297*'provincia (%)'!K93</f>
        <v>38018.09764</v>
      </c>
      <c r="O97" s="8">
        <f>'proyección hogares'!E297*'provincia (%)'!K93</f>
        <v>38879.09328</v>
      </c>
      <c r="P97" s="8">
        <f>'proyección hogares'!D297*'provincia (%)'!K93</f>
        <v>39719.20656</v>
      </c>
      <c r="Q97" s="8">
        <f>'proyección hogares'!C297*'provincia (%)'!K93</f>
        <v>40560.92617</v>
      </c>
      <c r="R97" s="8">
        <f>'proyección hogares'!B297*'provincia (%)'!K93</f>
        <v>41378.2295</v>
      </c>
    </row>
    <row r="98" ht="15.0" customHeight="1">
      <c r="A98" s="9"/>
      <c r="B98" s="10" t="s">
        <v>22</v>
      </c>
      <c r="C98" s="11">
        <f>'proyección hogares'!Q297*'provincia (%)'!K94</f>
        <v>17668.1173</v>
      </c>
      <c r="D98" s="11">
        <f>'proyección hogares'!P297*'provincia (%)'!K94</f>
        <v>18349.88069</v>
      </c>
      <c r="E98" s="11">
        <f>'proyección hogares'!O297*'provincia (%)'!K94</f>
        <v>19033.09773</v>
      </c>
      <c r="F98" s="11">
        <f>'proyección hogares'!N297*'provincia (%)'!K94</f>
        <v>19708.21585</v>
      </c>
      <c r="G98" s="11">
        <f>'proyección hogares'!M297*'provincia (%)'!K94</f>
        <v>20375.4427</v>
      </c>
      <c r="H98" s="11">
        <f>'proyección hogares'!L297*'provincia (%)'!K94</f>
        <v>21042.04657</v>
      </c>
      <c r="I98" s="11">
        <f>'proyección hogares'!K297*'provincia (%)'!K94</f>
        <v>21670.64778</v>
      </c>
      <c r="J98" s="11">
        <f>'proyección hogares'!J297*'provincia (%)'!K94</f>
        <v>22283.2588</v>
      </c>
      <c r="K98" s="11">
        <f>'proyección hogares'!I297*'provincia (%)'!K94</f>
        <v>22874.89569</v>
      </c>
      <c r="L98" s="11">
        <f>'proyección hogares'!H297*'provincia (%)'!K94</f>
        <v>23455.31868</v>
      </c>
      <c r="M98" s="11">
        <f>'proyección hogares'!G297*'provincia (%)'!K94</f>
        <v>24016.01351</v>
      </c>
      <c r="N98" s="11">
        <f>'proyección hogares'!F297*'provincia (%)'!K94</f>
        <v>24574.6317</v>
      </c>
      <c r="O98" s="11">
        <f>'proyección hogares'!E297*'provincia (%)'!K94</f>
        <v>25131.17324</v>
      </c>
      <c r="P98" s="11">
        <f>'proyección hogares'!D297*'provincia (%)'!K94</f>
        <v>25674.21658</v>
      </c>
      <c r="Q98" s="11">
        <f>'proyección hogares'!C297*'provincia (%)'!K94</f>
        <v>26218.29823</v>
      </c>
      <c r="R98" s="11">
        <f>'proyección hogares'!B297*'provincia (%)'!K94</f>
        <v>26746.59737</v>
      </c>
    </row>
    <row r="99" ht="15.0" customHeight="1">
      <c r="A99" s="12"/>
      <c r="B99" s="13" t="s">
        <v>23</v>
      </c>
      <c r="C99" s="14">
        <f>'proyección hogares'!Q297*'provincia (%)'!K95</f>
        <v>35506.56915</v>
      </c>
      <c r="D99" s="14">
        <f>'proyección hogares'!P297*'provincia (%)'!K95</f>
        <v>36876.66866</v>
      </c>
      <c r="E99" s="14">
        <f>'proyección hogares'!O297*'provincia (%)'!K95</f>
        <v>38249.68949</v>
      </c>
      <c r="F99" s="14">
        <f>'proyección hogares'!N297*'provincia (%)'!K95</f>
        <v>39606.4344</v>
      </c>
      <c r="G99" s="14">
        <f>'proyección hogares'!M297*'provincia (%)'!K95</f>
        <v>40947.3207</v>
      </c>
      <c r="H99" s="14">
        <f>'proyección hogares'!L297*'provincia (%)'!K95</f>
        <v>42286.95501</v>
      </c>
      <c r="I99" s="14">
        <f>'proyección hogares'!K297*'provincia (%)'!K95</f>
        <v>43550.21764</v>
      </c>
      <c r="J99" s="14">
        <f>'proyección hogares'!J297*'provincia (%)'!K95</f>
        <v>44781.34574</v>
      </c>
      <c r="K99" s="14">
        <f>'proyección hogares'!I297*'provincia (%)'!K95</f>
        <v>45970.32336</v>
      </c>
      <c r="L99" s="14">
        <f>'proyección hogares'!H297*'provincia (%)'!K95</f>
        <v>47136.76507</v>
      </c>
      <c r="M99" s="14">
        <f>'proyección hogares'!G297*'provincia (%)'!K95</f>
        <v>48263.56028</v>
      </c>
      <c r="N99" s="14">
        <f>'proyección hogares'!F297*'provincia (%)'!K95</f>
        <v>49386.18218</v>
      </c>
      <c r="O99" s="14">
        <f>'proyección hogares'!E297*'provincia (%)'!K95</f>
        <v>50504.63076</v>
      </c>
      <c r="P99" s="14">
        <f>'proyección hogares'!D297*'provincia (%)'!K95</f>
        <v>51595.95279</v>
      </c>
      <c r="Q99" s="14">
        <f>'proyección hogares'!C297*'provincia (%)'!K95</f>
        <v>52689.36148</v>
      </c>
      <c r="R99" s="14">
        <f>'proyección hogares'!B297*'provincia (%)'!K95</f>
        <v>53751.05297</v>
      </c>
    </row>
    <row r="100" ht="15.0" customHeight="1">
      <c r="A100" s="6" t="s">
        <v>54</v>
      </c>
      <c r="B100" s="7" t="s">
        <v>21</v>
      </c>
      <c r="C100" s="8">
        <f>'proyección hogares'!Q304*'provincia (%)'!K45</f>
        <v>220965.9192</v>
      </c>
      <c r="D100" s="8">
        <f>'proyección hogares'!P304*'provincia (%)'!K45</f>
        <v>228325.7698</v>
      </c>
      <c r="E100" s="8">
        <f>'proyección hogares'!O304*'provincia (%)'!K45</f>
        <v>235887.1384</v>
      </c>
      <c r="F100" s="8">
        <f>'proyección hogares'!N304*'provincia (%)'!K45</f>
        <v>243184.7555</v>
      </c>
      <c r="G100" s="8">
        <f>'proyección hogares'!M304*'provincia (%)'!K45</f>
        <v>250407.1738</v>
      </c>
      <c r="H100" s="8">
        <f>'proyección hogares'!L304*'provincia (%)'!K45</f>
        <v>257615.8859</v>
      </c>
      <c r="I100" s="8">
        <f>'proyección hogares'!K304*'provincia (%)'!K45</f>
        <v>264324.5075</v>
      </c>
      <c r="J100" s="8">
        <f>'proyección hogares'!J304*'provincia (%)'!K45</f>
        <v>270705.2921</v>
      </c>
      <c r="K100" s="8">
        <f>'proyección hogares'!I304*'provincia (%)'!K45</f>
        <v>276882.7064</v>
      </c>
      <c r="L100" s="8">
        <f>'proyección hogares'!H304*'provincia (%)'!K45</f>
        <v>282973.8089</v>
      </c>
      <c r="M100" s="8">
        <f>'proyección hogares'!G304*'provincia (%)'!K45</f>
        <v>288813.7547</v>
      </c>
      <c r="N100" s="8">
        <f>'proyección hogares'!F304*'provincia (%)'!K45</f>
        <v>294573.6861</v>
      </c>
      <c r="O100" s="8">
        <f>'proyección hogares'!E304*'provincia (%)'!K45</f>
        <v>300261.7527</v>
      </c>
      <c r="P100" s="8">
        <f>'proyección hogares'!D304*'provincia (%)'!K45</f>
        <v>305824.6114</v>
      </c>
      <c r="Q100" s="8">
        <f>'proyección hogares'!C304*'provincia (%)'!K45</f>
        <v>311298.9355</v>
      </c>
      <c r="R100" s="8">
        <f>'proyección hogares'!B304*'provincia (%)'!K45</f>
        <v>316588.041</v>
      </c>
    </row>
    <row r="101" ht="15.0" customHeight="1">
      <c r="A101" s="9"/>
      <c r="B101" s="10" t="s">
        <v>22</v>
      </c>
      <c r="C101" s="11">
        <f>'proyección hogares'!Q304*'provincia (%)'!K46</f>
        <v>123035.7324</v>
      </c>
      <c r="D101" s="11">
        <f>'proyección hogares'!P304*'provincia (%)'!K46</f>
        <v>127133.7608</v>
      </c>
      <c r="E101" s="11">
        <f>'proyección hogares'!O304*'provincia (%)'!K46</f>
        <v>131343.9961</v>
      </c>
      <c r="F101" s="11">
        <f>'proyección hogares'!N304*'provincia (%)'!K46</f>
        <v>135407.3723</v>
      </c>
      <c r="G101" s="11">
        <f>'proyección hogares'!M304*'provincia (%)'!K46</f>
        <v>139428.8772</v>
      </c>
      <c r="H101" s="11">
        <f>'proyección hogares'!L304*'provincia (%)'!K46</f>
        <v>143442.7504</v>
      </c>
      <c r="I101" s="11">
        <f>'proyección hogares'!K304*'provincia (%)'!K46</f>
        <v>147178.1689</v>
      </c>
      <c r="J101" s="11">
        <f>'proyección hogares'!J304*'provincia (%)'!K46</f>
        <v>150731.0448</v>
      </c>
      <c r="K101" s="11">
        <f>'proyección hogares'!I304*'provincia (%)'!K46</f>
        <v>154170.6825</v>
      </c>
      <c r="L101" s="11">
        <f>'proyección hogares'!H304*'provincia (%)'!K46</f>
        <v>157562.2609</v>
      </c>
      <c r="M101" s="11">
        <f>'proyección hogares'!G304*'provincia (%)'!K46</f>
        <v>160813.9932</v>
      </c>
      <c r="N101" s="11">
        <f>'proyección hogares'!F304*'provincia (%)'!K46</f>
        <v>164021.1728</v>
      </c>
      <c r="O101" s="11">
        <f>'proyección hogares'!E304*'provincia (%)'!K46</f>
        <v>167188.3373</v>
      </c>
      <c r="P101" s="11">
        <f>'proyección hogares'!D304*'provincia (%)'!K46</f>
        <v>170285.7851</v>
      </c>
      <c r="Q101" s="11">
        <f>'proyección hogares'!C304*'provincia (%)'!K46</f>
        <v>173333.9361</v>
      </c>
      <c r="R101" s="11">
        <f>'proyección hogares'!B304*'provincia (%)'!K46</f>
        <v>176278.9557</v>
      </c>
    </row>
    <row r="102" ht="15.0" customHeight="1">
      <c r="A102" s="12"/>
      <c r="B102" s="13" t="s">
        <v>23</v>
      </c>
      <c r="C102" s="14">
        <f>'proyección hogares'!Q304*'provincia (%)'!K47</f>
        <v>297993.5589</v>
      </c>
      <c r="D102" s="14">
        <f>'proyección hogares'!P304*'provincia (%)'!K47</f>
        <v>307919.0175</v>
      </c>
      <c r="E102" s="14">
        <f>'proyección hogares'!O304*'provincia (%)'!K47</f>
        <v>318116.2421</v>
      </c>
      <c r="F102" s="14">
        <f>'proyección hogares'!N304*'provincia (%)'!K47</f>
        <v>327957.7729</v>
      </c>
      <c r="G102" s="14">
        <f>'proyección hogares'!M304*'provincia (%)'!K47</f>
        <v>337697.891</v>
      </c>
      <c r="H102" s="14">
        <f>'proyección hogares'!L304*'provincia (%)'!K47</f>
        <v>347419.5249</v>
      </c>
      <c r="I102" s="14">
        <f>'proyección hogares'!K304*'provincia (%)'!K47</f>
        <v>356466.7393</v>
      </c>
      <c r="J102" s="14">
        <f>'proyección hogares'!J304*'provincia (%)'!K47</f>
        <v>365071.8341</v>
      </c>
      <c r="K102" s="14">
        <f>'proyección hogares'!I304*'provincia (%)'!K47</f>
        <v>373402.6649</v>
      </c>
      <c r="L102" s="14">
        <f>'proyección hogares'!H304*'provincia (%)'!K47</f>
        <v>381617.0959</v>
      </c>
      <c r="M102" s="14">
        <f>'proyección hogares'!G304*'provincia (%)'!K47</f>
        <v>389492.8184</v>
      </c>
      <c r="N102" s="14">
        <f>'proyección hogares'!F304*'provincia (%)'!K47</f>
        <v>397260.6337</v>
      </c>
      <c r="O102" s="14">
        <f>'proyección hogares'!E304*'provincia (%)'!K47</f>
        <v>404931.5324</v>
      </c>
      <c r="P102" s="14">
        <f>'proyección hogares'!D304*'provincia (%)'!K47</f>
        <v>412433.5765</v>
      </c>
      <c r="Q102" s="14">
        <f>'proyección hogares'!C304*'provincia (%)'!K47</f>
        <v>419816.2233</v>
      </c>
      <c r="R102" s="14">
        <f>'proyección hogares'!B304*'provincia (%)'!K47</f>
        <v>426949.085</v>
      </c>
    </row>
    <row r="103" ht="15.0" customHeight="1">
      <c r="A103" s="6" t="s">
        <v>55</v>
      </c>
      <c r="B103" s="7" t="s">
        <v>21</v>
      </c>
      <c r="C103" s="8">
        <f>'proyección hogares'!Q311*'provincia (%)'!K185</f>
        <v>32792.05913</v>
      </c>
      <c r="D103" s="8">
        <f>'proyección hogares'!P311*'provincia (%)'!K185</f>
        <v>34110.08049</v>
      </c>
      <c r="E103" s="8">
        <f>'proyección hogares'!O311*'provincia (%)'!K185</f>
        <v>35458.98237</v>
      </c>
      <c r="F103" s="8">
        <f>'proyección hogares'!N311*'provincia (%)'!K185</f>
        <v>36794.31039</v>
      </c>
      <c r="G103" s="8">
        <f>'proyección hogares'!M311*'provincia (%)'!K185</f>
        <v>38120.47606</v>
      </c>
      <c r="H103" s="8">
        <f>'proyección hogares'!L311*'provincia (%)'!K185</f>
        <v>39426.95963</v>
      </c>
      <c r="I103" s="8">
        <f>'proyección hogares'!K311*'provincia (%)'!K185</f>
        <v>40684.91668</v>
      </c>
      <c r="J103" s="8">
        <f>'proyección hogares'!J311*'provincia (%)'!K185</f>
        <v>41891.63242</v>
      </c>
      <c r="K103" s="8">
        <f>'proyección hogares'!I311*'provincia (%)'!K185</f>
        <v>43073.57588</v>
      </c>
      <c r="L103" s="8">
        <f>'proyección hogares'!H311*'provincia (%)'!K185</f>
        <v>44238.21267</v>
      </c>
      <c r="M103" s="8">
        <f>'proyección hogares'!G311*'provincia (%)'!K185</f>
        <v>45362.12789</v>
      </c>
      <c r="N103" s="8">
        <f>'proyección hogares'!F311*'provincia (%)'!K185</f>
        <v>46486.72181</v>
      </c>
      <c r="O103" s="8">
        <f>'proyección hogares'!E311*'provincia (%)'!K185</f>
        <v>47608.60095</v>
      </c>
      <c r="P103" s="8">
        <f>'proyección hogares'!D311*'provincia (%)'!K185</f>
        <v>48710.45866</v>
      </c>
      <c r="Q103" s="8">
        <f>'proyección hogares'!C311*'provincia (%)'!K185</f>
        <v>49792.29494</v>
      </c>
      <c r="R103" s="8">
        <f>'proyección hogares'!B311*'provincia (%)'!K185</f>
        <v>50842.23265</v>
      </c>
    </row>
    <row r="104" ht="15.0" customHeight="1">
      <c r="A104" s="9"/>
      <c r="B104" s="10" t="s">
        <v>22</v>
      </c>
      <c r="C104" s="11">
        <f>'proyección hogares'!Q311*'provincia (%)'!K186</f>
        <v>17240.39728</v>
      </c>
      <c r="D104" s="11">
        <f>'proyección hogares'!P311*'provincia (%)'!K186</f>
        <v>17933.34589</v>
      </c>
      <c r="E104" s="11">
        <f>'proyección hogares'!O311*'provincia (%)'!K186</f>
        <v>18642.52991</v>
      </c>
      <c r="F104" s="11">
        <f>'proyección hogares'!N311*'provincia (%)'!K186</f>
        <v>19344.57748</v>
      </c>
      <c r="G104" s="11">
        <f>'proyección hogares'!M311*'provincia (%)'!K186</f>
        <v>20041.80796</v>
      </c>
      <c r="H104" s="11">
        <f>'proyección hogares'!L311*'provincia (%)'!K186</f>
        <v>20728.69059</v>
      </c>
      <c r="I104" s="11">
        <f>'proyección hogares'!K311*'provincia (%)'!K186</f>
        <v>21390.06044</v>
      </c>
      <c r="J104" s="11">
        <f>'proyección hogares'!J311*'provincia (%)'!K186</f>
        <v>22024.49022</v>
      </c>
      <c r="K104" s="11">
        <f>'proyección hogares'!I311*'provincia (%)'!K186</f>
        <v>22645.89599</v>
      </c>
      <c r="L104" s="11">
        <f>'proyección hogares'!H311*'provincia (%)'!K186</f>
        <v>23258.20279</v>
      </c>
      <c r="M104" s="11">
        <f>'proyección hogares'!G311*'provincia (%)'!K186</f>
        <v>23849.10027</v>
      </c>
      <c r="N104" s="11">
        <f>'proyección hogares'!F311*'provincia (%)'!K186</f>
        <v>24440.35457</v>
      </c>
      <c r="O104" s="11">
        <f>'proyección hogares'!E311*'provincia (%)'!K186</f>
        <v>25030.18157</v>
      </c>
      <c r="P104" s="11">
        <f>'proyección hogares'!D311*'provincia (%)'!K186</f>
        <v>25609.48233</v>
      </c>
      <c r="Q104" s="11">
        <f>'proyección hogares'!C311*'provincia (%)'!K186</f>
        <v>26178.25683</v>
      </c>
      <c r="R104" s="11">
        <f>'proyección hogares'!B311*'provincia (%)'!K186</f>
        <v>26730.2607</v>
      </c>
    </row>
    <row r="105" ht="15.0" customHeight="1">
      <c r="A105" s="12"/>
      <c r="B105" s="13" t="s">
        <v>23</v>
      </c>
      <c r="C105" s="14">
        <f>'proyección hogares'!Q311*'provincia (%)'!K187</f>
        <v>48142.31252</v>
      </c>
      <c r="D105" s="14">
        <f>'proyección hogares'!P311*'provincia (%)'!K187</f>
        <v>50077.31135</v>
      </c>
      <c r="E105" s="14">
        <f>'proyección hogares'!O311*'provincia (%)'!K187</f>
        <v>52057.64615</v>
      </c>
      <c r="F105" s="14">
        <f>'proyección hogares'!N311*'provincia (%)'!K187</f>
        <v>54018.05304</v>
      </c>
      <c r="G105" s="14">
        <f>'proyección hogares'!M311*'provincia (%)'!K187</f>
        <v>55965.00861</v>
      </c>
      <c r="H105" s="14">
        <f>'proyección hogares'!L311*'provincia (%)'!K187</f>
        <v>57883.06873</v>
      </c>
      <c r="I105" s="14">
        <f>'proyección hogares'!K311*'provincia (%)'!K187</f>
        <v>59729.88661</v>
      </c>
      <c r="J105" s="14">
        <f>'proyección hogares'!J311*'provincia (%)'!K187</f>
        <v>61501.47668</v>
      </c>
      <c r="K105" s="14">
        <f>'proyección hogares'!I311*'provincia (%)'!K187</f>
        <v>63236.69834</v>
      </c>
      <c r="L105" s="14">
        <f>'proyección hogares'!H311*'provincia (%)'!K187</f>
        <v>64946.51193</v>
      </c>
      <c r="M105" s="14">
        <f>'proyección hogares'!G311*'provincia (%)'!K187</f>
        <v>66596.54183</v>
      </c>
      <c r="N105" s="14">
        <f>'proyección hogares'!F311*'provincia (%)'!K187</f>
        <v>68247.56812</v>
      </c>
      <c r="O105" s="14">
        <f>'proyección hogares'!E311*'provincia (%)'!K187</f>
        <v>69894.60883</v>
      </c>
      <c r="P105" s="14">
        <f>'proyección hogares'!D311*'provincia (%)'!K187</f>
        <v>71512.2559</v>
      </c>
      <c r="Q105" s="14">
        <f>'proyección hogares'!C311*'provincia (%)'!K187</f>
        <v>73100.50931</v>
      </c>
      <c r="R105" s="14">
        <f>'proyección hogares'!B311*'provincia (%)'!K187</f>
        <v>74641.93217</v>
      </c>
    </row>
    <row r="106" ht="15.0" customHeight="1">
      <c r="A106" s="6" t="s">
        <v>56</v>
      </c>
      <c r="B106" s="7" t="s">
        <v>21</v>
      </c>
      <c r="C106" s="8">
        <f>'proyección hogares'!Q325*'provincia (%)'!K197</f>
        <v>107677.9887</v>
      </c>
      <c r="D106" s="8">
        <f>'proyección hogares'!P325*'provincia (%)'!K197</f>
        <v>111075.3264</v>
      </c>
      <c r="E106" s="8">
        <f>'proyección hogares'!O325*'provincia (%)'!K197</f>
        <v>114506.9771</v>
      </c>
      <c r="F106" s="8">
        <f>'proyección hogares'!N325*'provincia (%)'!K197</f>
        <v>117840.6412</v>
      </c>
      <c r="G106" s="8">
        <f>'proyección hogares'!M325*'provincia (%)'!K197</f>
        <v>121192.6999</v>
      </c>
      <c r="H106" s="8">
        <f>'proyección hogares'!L325*'provincia (%)'!K197</f>
        <v>124511.1532</v>
      </c>
      <c r="I106" s="8">
        <f>'proyección hogares'!K325*'provincia (%)'!K197</f>
        <v>127632.5722</v>
      </c>
      <c r="J106" s="8">
        <f>'proyección hogares'!J325*'provincia (%)'!K197</f>
        <v>130614.9706</v>
      </c>
      <c r="K106" s="8">
        <f>'proyección hogares'!I325*'provincia (%)'!K197</f>
        <v>133497.9675</v>
      </c>
      <c r="L106" s="8">
        <f>'proyección hogares'!H325*'provincia (%)'!K197</f>
        <v>136365.7535</v>
      </c>
      <c r="M106" s="8">
        <f>'proyección hogares'!G325*'provincia (%)'!K197</f>
        <v>139100.8862</v>
      </c>
      <c r="N106" s="8">
        <f>'proyección hogares'!F325*'provincia (%)'!K197</f>
        <v>141849.4612</v>
      </c>
      <c r="O106" s="8">
        <f>'proyección hogares'!E325*'provincia (%)'!K197</f>
        <v>144578.2266</v>
      </c>
      <c r="P106" s="8">
        <f>'proyección hogares'!D325*'provincia (%)'!K197</f>
        <v>147288.5974</v>
      </c>
      <c r="Q106" s="8">
        <f>'proyección hogares'!C325*'provincia (%)'!K197</f>
        <v>150002.8594</v>
      </c>
      <c r="R106" s="8">
        <f>'proyección hogares'!B325*'provincia (%)'!K197</f>
        <v>152634.6995</v>
      </c>
    </row>
    <row r="107" ht="15.0" customHeight="1">
      <c r="A107" s="9"/>
      <c r="B107" s="10" t="s">
        <v>22</v>
      </c>
      <c r="C107" s="11">
        <f>'proyección hogares'!Q325*'provincia (%)'!K198</f>
        <v>64174.40306</v>
      </c>
      <c r="D107" s="11">
        <f>'proyección hogares'!P325*'provincia (%)'!K198</f>
        <v>66199.16338</v>
      </c>
      <c r="E107" s="11">
        <f>'proyección hogares'!O325*'provincia (%)'!K198</f>
        <v>68244.37369</v>
      </c>
      <c r="F107" s="11">
        <f>'proyección hogares'!N325*'provincia (%)'!K198</f>
        <v>70231.18556</v>
      </c>
      <c r="G107" s="11">
        <f>'proyección hogares'!M325*'provincia (%)'!K198</f>
        <v>72228.96032</v>
      </c>
      <c r="H107" s="11">
        <f>'proyección hogares'!L325*'provincia (%)'!K198</f>
        <v>74206.70674</v>
      </c>
      <c r="I107" s="11">
        <f>'proyección hogares'!K325*'provincia (%)'!K198</f>
        <v>76067.0238</v>
      </c>
      <c r="J107" s="11">
        <f>'proyección hogares'!J325*'provincia (%)'!K198</f>
        <v>77844.48676</v>
      </c>
      <c r="K107" s="11">
        <f>'proyección hogares'!I325*'provincia (%)'!K198</f>
        <v>79562.70798</v>
      </c>
      <c r="L107" s="11">
        <f>'proyección hogares'!H325*'provincia (%)'!K198</f>
        <v>81271.86374</v>
      </c>
      <c r="M107" s="11">
        <f>'proyección hogares'!G325*'provincia (%)'!K198</f>
        <v>82901.96024</v>
      </c>
      <c r="N107" s="11">
        <f>'proyección hogares'!F325*'provincia (%)'!K198</f>
        <v>84540.06808</v>
      </c>
      <c r="O107" s="11">
        <f>'proyección hogares'!E325*'provincia (%)'!K198</f>
        <v>86166.36973</v>
      </c>
      <c r="P107" s="11">
        <f>'proyección hogares'!D325*'provincia (%)'!K198</f>
        <v>87781.7085</v>
      </c>
      <c r="Q107" s="11">
        <f>'proyección hogares'!C325*'provincia (%)'!K198</f>
        <v>89399.36635</v>
      </c>
      <c r="R107" s="11">
        <f>'proyección hogares'!B325*'provincia (%)'!K198</f>
        <v>90967.90204</v>
      </c>
    </row>
    <row r="108" ht="15.0" customHeight="1">
      <c r="A108" s="12"/>
      <c r="B108" s="13" t="s">
        <v>23</v>
      </c>
      <c r="C108" s="14">
        <f>'proyección hogares'!Q325*'provincia (%)'!K199</f>
        <v>142969.6483</v>
      </c>
      <c r="D108" s="14">
        <f>'proyección hogares'!P325*'provincia (%)'!K199</f>
        <v>147480.4697</v>
      </c>
      <c r="E108" s="14">
        <f>'proyección hogares'!O325*'provincia (%)'!K199</f>
        <v>152036.8502</v>
      </c>
      <c r="F108" s="14">
        <f>'proyección hogares'!N325*'provincia (%)'!K199</f>
        <v>156463.1289</v>
      </c>
      <c r="G108" s="14">
        <f>'proyección hogares'!M325*'provincia (%)'!K199</f>
        <v>160913.8311</v>
      </c>
      <c r="H108" s="14">
        <f>'proyección hogares'!L325*'provincia (%)'!K199</f>
        <v>165319.9135</v>
      </c>
      <c r="I108" s="14">
        <f>'proyección hogares'!K325*'provincia (%)'!K199</f>
        <v>169464.3833</v>
      </c>
      <c r="J108" s="14">
        <f>'proyección hogares'!J325*'provincia (%)'!K199</f>
        <v>173424.2683</v>
      </c>
      <c r="K108" s="14">
        <f>'proyección hogares'!I325*'provincia (%)'!K199</f>
        <v>177252.1727</v>
      </c>
      <c r="L108" s="14">
        <f>'proyección hogares'!H325*'provincia (%)'!K199</f>
        <v>181059.8809</v>
      </c>
      <c r="M108" s="14">
        <f>'proyección hogares'!G325*'provincia (%)'!K199</f>
        <v>184691.4585</v>
      </c>
      <c r="N108" s="14">
        <f>'proyección hogares'!F325*'provincia (%)'!K199</f>
        <v>188340.8839</v>
      </c>
      <c r="O108" s="14">
        <f>'proyección hogares'!E325*'provincia (%)'!K199</f>
        <v>191964.0073</v>
      </c>
      <c r="P108" s="14">
        <f>'proyección hogares'!D325*'provincia (%)'!K199</f>
        <v>195562.7071</v>
      </c>
      <c r="Q108" s="14">
        <f>'proyección hogares'!C325*'provincia (%)'!K199</f>
        <v>199166.5735</v>
      </c>
      <c r="R108" s="14">
        <f>'proyección hogares'!B325*'provincia (%)'!K199</f>
        <v>202661.0041</v>
      </c>
    </row>
    <row r="109" ht="15.0" customHeight="1">
      <c r="A109" s="6" t="s">
        <v>57</v>
      </c>
      <c r="B109" s="7" t="s">
        <v>21</v>
      </c>
      <c r="C109" s="8">
        <f>'proyección hogares'!Q332*'provincia (%)'!K17</f>
        <v>82784.1971</v>
      </c>
      <c r="D109" s="8">
        <f>'proyección hogares'!P332*'provincia (%)'!K17</f>
        <v>86331.08126</v>
      </c>
      <c r="E109" s="8">
        <f>'proyección hogares'!O332*'provincia (%)'!K17</f>
        <v>89824.2193</v>
      </c>
      <c r="F109" s="8">
        <f>'proyección hogares'!N332*'provincia (%)'!K17</f>
        <v>93250.62555</v>
      </c>
      <c r="G109" s="8">
        <f>'proyección hogares'!M332*'provincia (%)'!K17</f>
        <v>96579.63948</v>
      </c>
      <c r="H109" s="8">
        <f>'proyección hogares'!L332*'provincia (%)'!K17</f>
        <v>99801.16114</v>
      </c>
      <c r="I109" s="8">
        <f>'proyección hogares'!K332*'provincia (%)'!K17</f>
        <v>102759.3628</v>
      </c>
      <c r="J109" s="8">
        <f>'proyección hogares'!J332*'provincia (%)'!K17</f>
        <v>105556.3261</v>
      </c>
      <c r="K109" s="8">
        <f>'proyección hogares'!I332*'provincia (%)'!K17</f>
        <v>108227.04</v>
      </c>
      <c r="L109" s="8">
        <f>'proyección hogares'!H332*'provincia (%)'!K17</f>
        <v>110811.5438</v>
      </c>
      <c r="M109" s="8">
        <f>'proyección hogares'!G332*'provincia (%)'!K17</f>
        <v>113286.7517</v>
      </c>
      <c r="N109" s="8">
        <f>'proyección hogares'!F332*'provincia (%)'!K17</f>
        <v>115715.0669</v>
      </c>
      <c r="O109" s="8">
        <f>'proyección hogares'!E332*'provincia (%)'!K17</f>
        <v>118136.5287</v>
      </c>
      <c r="P109" s="8">
        <f>'proyección hogares'!D332*'provincia (%)'!K17</f>
        <v>120529.1335</v>
      </c>
      <c r="Q109" s="8">
        <f>'proyección hogares'!C332*'provincia (%)'!K17</f>
        <v>122927.5096</v>
      </c>
      <c r="R109" s="8">
        <f>'proyección hogares'!B332*'provincia (%)'!K17</f>
        <v>125283.3217</v>
      </c>
    </row>
    <row r="110" ht="15.0" customHeight="1">
      <c r="A110" s="9"/>
      <c r="B110" s="10" t="s">
        <v>22</v>
      </c>
      <c r="C110" s="11">
        <f>'proyección hogares'!Q332*'provincia (%)'!K18</f>
        <v>55813.54042</v>
      </c>
      <c r="D110" s="11">
        <f>'proyección hogares'!P332*'provincia (%)'!K18</f>
        <v>58204.86835</v>
      </c>
      <c r="E110" s="11">
        <f>'proyección hogares'!O332*'provincia (%)'!K18</f>
        <v>60559.96035</v>
      </c>
      <c r="F110" s="11">
        <f>'proyección hogares'!N332*'provincia (%)'!K18</f>
        <v>62870.06144</v>
      </c>
      <c r="G110" s="11">
        <f>'proyección hogares'!M332*'provincia (%)'!K18</f>
        <v>65114.50012</v>
      </c>
      <c r="H110" s="11">
        <f>'proyección hogares'!L332*'provincia (%)'!K18</f>
        <v>67286.46694</v>
      </c>
      <c r="I110" s="11">
        <f>'proyección hogares'!K332*'provincia (%)'!K18</f>
        <v>69280.90204</v>
      </c>
      <c r="J110" s="11">
        <f>'proyección hogares'!J332*'provincia (%)'!K18</f>
        <v>71166.62936</v>
      </c>
      <c r="K110" s="11">
        <f>'proyección hogares'!I332*'provincia (%)'!K18</f>
        <v>72967.23874</v>
      </c>
      <c r="L110" s="11">
        <f>'proyección hogares'!H332*'provincia (%)'!K18</f>
        <v>74709.72472</v>
      </c>
      <c r="M110" s="11">
        <f>'proyección hogares'!G332*'provincia (%)'!K18</f>
        <v>76378.52288</v>
      </c>
      <c r="N110" s="11">
        <f>'proyección hogares'!F332*'provincia (%)'!K18</f>
        <v>78015.70579</v>
      </c>
      <c r="O110" s="11">
        <f>'proyección hogares'!E332*'provincia (%)'!K18</f>
        <v>79648.26802</v>
      </c>
      <c r="P110" s="11">
        <f>'proyección hogares'!D332*'provincia (%)'!K18</f>
        <v>81261.37472</v>
      </c>
      <c r="Q110" s="11">
        <f>'proyección hogares'!C332*'provincia (%)'!K18</f>
        <v>82878.37253</v>
      </c>
      <c r="R110" s="11">
        <f>'proyección hogares'!B332*'provincia (%)'!K18</f>
        <v>84466.67342</v>
      </c>
    </row>
    <row r="111" ht="15.0" customHeight="1">
      <c r="A111" s="12"/>
      <c r="B111" s="13" t="s">
        <v>23</v>
      </c>
      <c r="C111" s="14">
        <f>'proyección hogares'!Q332*'provincia (%)'!K19</f>
        <v>105897.4639</v>
      </c>
      <c r="D111" s="14">
        <f>'proyección hogares'!P332*'provincia (%)'!K19</f>
        <v>110434.6346</v>
      </c>
      <c r="E111" s="14">
        <f>'proyección hogares'!O332*'provincia (%)'!K19</f>
        <v>114903.0534</v>
      </c>
      <c r="F111" s="14">
        <f>'proyección hogares'!N332*'provincia (%)'!K19</f>
        <v>119286.1089</v>
      </c>
      <c r="G111" s="14">
        <f>'proyección hogares'!M332*'provincia (%)'!K19</f>
        <v>123544.5803</v>
      </c>
      <c r="H111" s="14">
        <f>'proyección hogares'!L332*'provincia (%)'!K19</f>
        <v>127665.5476</v>
      </c>
      <c r="I111" s="14">
        <f>'proyección hogares'!K332*'provincia (%)'!K19</f>
        <v>131449.6763</v>
      </c>
      <c r="J111" s="14">
        <f>'proyección hogares'!J332*'provincia (%)'!K19</f>
        <v>135027.549</v>
      </c>
      <c r="K111" s="14">
        <f>'proyección hogares'!I332*'provincia (%)'!K19</f>
        <v>138443.9236</v>
      </c>
      <c r="L111" s="14">
        <f>'proyección hogares'!H332*'provincia (%)'!K19</f>
        <v>141750.0183</v>
      </c>
      <c r="M111" s="14">
        <f>'proyección hogares'!G332*'provincia (%)'!K19</f>
        <v>144916.3018</v>
      </c>
      <c r="N111" s="14">
        <f>'proyección hogares'!F332*'provincia (%)'!K19</f>
        <v>148022.6003</v>
      </c>
      <c r="O111" s="14">
        <f>'proyección hogares'!E332*'provincia (%)'!K19</f>
        <v>151120.1318</v>
      </c>
      <c r="P111" s="14">
        <f>'proyección hogares'!D332*'provincia (%)'!K19</f>
        <v>154180.7495</v>
      </c>
      <c r="Q111" s="14">
        <f>'proyección hogares'!C332*'provincia (%)'!K19</f>
        <v>157248.7499</v>
      </c>
      <c r="R111" s="14">
        <f>'proyección hogares'!B332*'provincia (%)'!K19</f>
        <v>160262.3025</v>
      </c>
    </row>
    <row r="112" ht="15.0" customHeight="1">
      <c r="A112" s="6" t="s">
        <v>58</v>
      </c>
      <c r="B112" s="7" t="s">
        <v>21</v>
      </c>
      <c r="C112" s="8">
        <f>'proyección hogares'!Q339*'provincia (%)'!K69</f>
        <v>25381.16437</v>
      </c>
      <c r="D112" s="8">
        <f>'proyección hogares'!P339*'provincia (%)'!K69</f>
        <v>26232.34143</v>
      </c>
      <c r="E112" s="8">
        <f>'proyección hogares'!O339*'provincia (%)'!K69</f>
        <v>27086.88416</v>
      </c>
      <c r="F112" s="8">
        <f>'proyección hogares'!N339*'provincia (%)'!K69</f>
        <v>27938.73436</v>
      </c>
      <c r="G112" s="8">
        <f>'proyección hogares'!M339*'provincia (%)'!K69</f>
        <v>28781.83382</v>
      </c>
      <c r="H112" s="8">
        <f>'proyección hogares'!L339*'provincia (%)'!K69</f>
        <v>29639.74222</v>
      </c>
      <c r="I112" s="8">
        <f>'proyección hogares'!K339*'provincia (%)'!K69</f>
        <v>30445.81935</v>
      </c>
      <c r="J112" s="8">
        <f>'proyección hogares'!J339*'provincia (%)'!K69</f>
        <v>31208.81595</v>
      </c>
      <c r="K112" s="8">
        <f>'proyección hogares'!I339*'provincia (%)'!K69</f>
        <v>31955.65735</v>
      </c>
      <c r="L112" s="8">
        <f>'proyección hogares'!H339*'provincia (%)'!K69</f>
        <v>32699.13309</v>
      </c>
      <c r="M112" s="8">
        <f>'proyección hogares'!G339*'provincia (%)'!K69</f>
        <v>33409.62529</v>
      </c>
      <c r="N112" s="8">
        <f>'proyección hogares'!F339*'provincia (%)'!K69</f>
        <v>34121.12719</v>
      </c>
      <c r="O112" s="8">
        <f>'proyección hogares'!E339*'provincia (%)'!K69</f>
        <v>34831.61939</v>
      </c>
      <c r="P112" s="8">
        <f>'proyección hogares'!D339*'provincia (%)'!K69</f>
        <v>35528.31236</v>
      </c>
      <c r="Q112" s="8">
        <f>'proyección hogares'!C339*'provincia (%)'!K69</f>
        <v>36225.00533</v>
      </c>
      <c r="R112" s="8">
        <f>'proyección hogares'!B339*'provincia (%)'!K69</f>
        <v>36903.18714</v>
      </c>
    </row>
    <row r="113" ht="15.0" customHeight="1">
      <c r="A113" s="9"/>
      <c r="B113" s="10" t="s">
        <v>22</v>
      </c>
      <c r="C113" s="11">
        <f>'proyección hogares'!Q339*'provincia (%)'!K70</f>
        <v>15779.64569</v>
      </c>
      <c r="D113" s="11">
        <f>'proyección hogares'!P339*'provincia (%)'!K70</f>
        <v>16308.82837</v>
      </c>
      <c r="E113" s="11">
        <f>'proyección hogares'!O339*'provincia (%)'!K70</f>
        <v>16840.1035</v>
      </c>
      <c r="F113" s="11">
        <f>'proyección hogares'!N339*'provincia (%)'!K70</f>
        <v>17369.70467</v>
      </c>
      <c r="G113" s="11">
        <f>'proyección hogares'!M339*'provincia (%)'!K70</f>
        <v>17893.86545</v>
      </c>
      <c r="H113" s="11">
        <f>'proyección hogares'!L339*'provincia (%)'!K70</f>
        <v>18427.23304</v>
      </c>
      <c r="I113" s="11">
        <f>'proyección hogares'!K339*'provincia (%)'!K70</f>
        <v>18928.37678</v>
      </c>
      <c r="J113" s="11">
        <f>'proyección hogares'!J339*'provincia (%)'!K70</f>
        <v>19402.73705</v>
      </c>
      <c r="K113" s="11">
        <f>'proyección hogares'!I339*'provincia (%)'!K70</f>
        <v>19867.05352</v>
      </c>
      <c r="L113" s="11">
        <f>'proyección hogares'!H339*'provincia (%)'!K70</f>
        <v>20329.27753</v>
      </c>
      <c r="M113" s="11">
        <f>'proyección hogares'!G339*'provincia (%)'!K70</f>
        <v>20770.99546</v>
      </c>
      <c r="N113" s="11">
        <f>'proyección hogares'!F339*'provincia (%)'!K70</f>
        <v>21213.34112</v>
      </c>
      <c r="O113" s="11">
        <f>'proyección hogares'!E339*'provincia (%)'!K70</f>
        <v>21655.05904</v>
      </c>
      <c r="P113" s="11">
        <f>'proyección hogares'!D339*'provincia (%)'!K70</f>
        <v>22088.19789</v>
      </c>
      <c r="Q113" s="11">
        <f>'proyección hogares'!C339*'provincia (%)'!K70</f>
        <v>22521.33673</v>
      </c>
      <c r="R113" s="11">
        <f>'proyección hogares'!B339*'provincia (%)'!K70</f>
        <v>22942.96706</v>
      </c>
    </row>
    <row r="114" ht="15.0" customHeight="1">
      <c r="A114" s="12"/>
      <c r="B114" s="13" t="s">
        <v>23</v>
      </c>
      <c r="C114" s="14">
        <f>'proyección hogares'!Q339*'provincia (%)'!K71</f>
        <v>34760.10976</v>
      </c>
      <c r="D114" s="14">
        <f>'proyección hogares'!P339*'provincia (%)'!K71</f>
        <v>35925.81704</v>
      </c>
      <c r="E114" s="14">
        <f>'proyección hogares'!O339*'provincia (%)'!K71</f>
        <v>37096.13369</v>
      </c>
      <c r="F114" s="14">
        <f>'proyección hogares'!N339*'provincia (%)'!K71</f>
        <v>38262.76284</v>
      </c>
      <c r="G114" s="14">
        <f>'proyección hogares'!M339*'provincia (%)'!K71</f>
        <v>39417.40766</v>
      </c>
      <c r="H114" s="14">
        <f>'proyección hogares'!L339*'provincia (%)'!K71</f>
        <v>40592.33366</v>
      </c>
      <c r="I114" s="14">
        <f>'proyección hogares'!K339*'provincia (%)'!K71</f>
        <v>41696.27551</v>
      </c>
      <c r="J114" s="14">
        <f>'proyección hogares'!J339*'provincia (%)'!K71</f>
        <v>42741.21755</v>
      </c>
      <c r="K114" s="14">
        <f>'proyección hogares'!I339*'provincia (%)'!K71</f>
        <v>43764.03465</v>
      </c>
      <c r="L114" s="14">
        <f>'proyección hogares'!H339*'provincia (%)'!K71</f>
        <v>44782.2424</v>
      </c>
      <c r="M114" s="14">
        <f>'proyección hogares'!G339*'provincia (%)'!K71</f>
        <v>45755.27841</v>
      </c>
      <c r="N114" s="14">
        <f>'proyección hogares'!F339*'provincia (%)'!K71</f>
        <v>46729.69723</v>
      </c>
      <c r="O114" s="14">
        <f>'proyección hogares'!E339*'provincia (%)'!K71</f>
        <v>47702.73324</v>
      </c>
      <c r="P114" s="14">
        <f>'proyección hogares'!D339*'provincia (%)'!K71</f>
        <v>48656.87088</v>
      </c>
      <c r="Q114" s="14">
        <f>'proyección hogares'!C339*'provincia (%)'!K71</f>
        <v>49611.00851</v>
      </c>
      <c r="R114" s="14">
        <f>'proyección hogares'!B339*'provincia (%)'!K71</f>
        <v>50539.79466</v>
      </c>
    </row>
    <row r="115" ht="15.0" customHeight="1">
      <c r="A115" s="6" t="s">
        <v>59</v>
      </c>
      <c r="B115" s="7" t="s">
        <v>21</v>
      </c>
      <c r="C115" s="8">
        <f>'proyección hogares'!Q353*'provincia (%)'!K57</f>
        <v>22941.25068</v>
      </c>
      <c r="D115" s="8">
        <f>'proyección hogares'!P353*'provincia (%)'!K57</f>
        <v>23442.42174</v>
      </c>
      <c r="E115" s="8">
        <f>'proyección hogares'!O353*'provincia (%)'!K57</f>
        <v>23926.95161</v>
      </c>
      <c r="F115" s="8">
        <f>'proyección hogares'!N353*'provincia (%)'!K57</f>
        <v>24392.90525</v>
      </c>
      <c r="G115" s="8">
        <f>'proyección hogares'!M353*'provincia (%)'!K57</f>
        <v>24849.57078</v>
      </c>
      <c r="H115" s="8">
        <f>'proyección hogares'!L353*'provincia (%)'!K57</f>
        <v>25328.68258</v>
      </c>
      <c r="I115" s="8">
        <f>'proyección hogares'!K353*'provincia (%)'!K57</f>
        <v>25774.12497</v>
      </c>
      <c r="J115" s="8">
        <f>'proyección hogares'!J353*'provincia (%)'!K57</f>
        <v>26188.60698</v>
      </c>
      <c r="K115" s="8">
        <f>'proyección hogares'!I353*'provincia (%)'!K57</f>
        <v>26610.44209</v>
      </c>
      <c r="L115" s="8">
        <f>'proyección hogares'!H353*'provincia (%)'!K57</f>
        <v>27027.24613</v>
      </c>
      <c r="M115" s="8">
        <f>'proyección hogares'!G353*'provincia (%)'!K57</f>
        <v>27418.89488</v>
      </c>
      <c r="N115" s="8">
        <f>'proyección hogares'!F353*'provincia (%)'!K57</f>
        <v>27803.96454</v>
      </c>
      <c r="O115" s="8">
        <f>'proyección hogares'!E353*'provincia (%)'!K57</f>
        <v>28188.26019</v>
      </c>
      <c r="P115" s="8">
        <f>'proyección hogares'!D353*'provincia (%)'!K57</f>
        <v>28569.84681</v>
      </c>
      <c r="Q115" s="8">
        <f>'proyección hogares'!C353*'provincia (%)'!K57</f>
        <v>28955.30347</v>
      </c>
      <c r="R115" s="8">
        <f>'proyección hogares'!B353*'provincia (%)'!K57</f>
        <v>29331.08502</v>
      </c>
    </row>
    <row r="116" ht="15.0" customHeight="1">
      <c r="A116" s="9"/>
      <c r="B116" s="10" t="s">
        <v>22</v>
      </c>
      <c r="C116" s="11">
        <f>'proyección hogares'!Q353*'provincia (%)'!K58</f>
        <v>13347.30719</v>
      </c>
      <c r="D116" s="11">
        <f>'proyección hogares'!P353*'provincia (%)'!K58</f>
        <v>13638.89043</v>
      </c>
      <c r="E116" s="11">
        <f>'proyección hogares'!O353*'provincia (%)'!K58</f>
        <v>13920.79175</v>
      </c>
      <c r="F116" s="11">
        <f>'proyección hogares'!N353*'provincia (%)'!K58</f>
        <v>14191.88536</v>
      </c>
      <c r="G116" s="11">
        <f>'proyección hogares'!M353*'provincia (%)'!K58</f>
        <v>14457.5751</v>
      </c>
      <c r="H116" s="11">
        <f>'proyección hogares'!L353*'provincia (%)'!K58</f>
        <v>14736.32418</v>
      </c>
      <c r="I116" s="11">
        <f>'proyección hogares'!K353*'provincia (%)'!K58</f>
        <v>14995.48426</v>
      </c>
      <c r="J116" s="11">
        <f>'proyección hogares'!J353*'provincia (%)'!K58</f>
        <v>15236.63148</v>
      </c>
      <c r="K116" s="11">
        <f>'proyección hogares'!I353*'provincia (%)'!K58</f>
        <v>15482.05675</v>
      </c>
      <c r="L116" s="11">
        <f>'proyección hogares'!H353*'provincia (%)'!K58</f>
        <v>15724.55494</v>
      </c>
      <c r="M116" s="11">
        <f>'proyección hogares'!G353*'provincia (%)'!K58</f>
        <v>15952.41767</v>
      </c>
      <c r="N116" s="11">
        <f>'proyección hogares'!F353*'provincia (%)'!K58</f>
        <v>16176.45267</v>
      </c>
      <c r="O116" s="11">
        <f>'proyección hogares'!E353*'provincia (%)'!K58</f>
        <v>16400.03734</v>
      </c>
      <c r="P116" s="11">
        <f>'proyección hogares'!D353*'provincia (%)'!K58</f>
        <v>16622.04589</v>
      </c>
      <c r="Q116" s="11">
        <f>'proyección hogares'!C353*'provincia (%)'!K58</f>
        <v>16846.30605</v>
      </c>
      <c r="R116" s="11">
        <f>'proyección hogares'!B353*'provincia (%)'!K58</f>
        <v>17064.93719</v>
      </c>
    </row>
    <row r="117" ht="15.0" customHeight="1">
      <c r="A117" s="12"/>
      <c r="B117" s="13" t="s">
        <v>23</v>
      </c>
      <c r="C117" s="14">
        <f>'proyección hogares'!Q353*'provincia (%)'!K59</f>
        <v>33818.85895</v>
      </c>
      <c r="D117" s="14">
        <f>'proyección hogares'!P353*'provincia (%)'!K59</f>
        <v>34557.66059</v>
      </c>
      <c r="E117" s="14">
        <f>'proyección hogares'!O353*'provincia (%)'!K59</f>
        <v>35271.93059</v>
      </c>
      <c r="F117" s="14">
        <f>'proyección hogares'!N353*'provincia (%)'!K59</f>
        <v>35958.81644</v>
      </c>
      <c r="G117" s="14">
        <f>'proyección hogares'!M353*'provincia (%)'!K59</f>
        <v>36632.01021</v>
      </c>
      <c r="H117" s="14">
        <f>'proyección hogares'!L353*'provincia (%)'!K59</f>
        <v>37338.29317</v>
      </c>
      <c r="I117" s="14">
        <f>'proyección hogares'!K353*'provincia (%)'!K59</f>
        <v>37994.94234</v>
      </c>
      <c r="J117" s="14">
        <f>'proyección hogares'!J353*'provincia (%)'!K59</f>
        <v>38605.95127</v>
      </c>
      <c r="K117" s="14">
        <f>'proyección hogares'!I353*'provincia (%)'!K59</f>
        <v>39227.79975</v>
      </c>
      <c r="L117" s="14">
        <f>'proyección hogares'!H353*'provincia (%)'!K59</f>
        <v>39842.23169</v>
      </c>
      <c r="M117" s="14">
        <f>'proyección hogares'!G353*'provincia (%)'!K59</f>
        <v>40419.58093</v>
      </c>
      <c r="N117" s="14">
        <f>'proyección hogares'!F353*'provincia (%)'!K59</f>
        <v>40987.23161</v>
      </c>
      <c r="O117" s="14">
        <f>'proyección hogares'!E353*'provincia (%)'!K59</f>
        <v>41553.74128</v>
      </c>
      <c r="P117" s="14">
        <f>'proyección hogares'!D353*'provincia (%)'!K59</f>
        <v>42116.25743</v>
      </c>
      <c r="Q117" s="14">
        <f>'proyección hogares'!C353*'provincia (%)'!K59</f>
        <v>42684.47862</v>
      </c>
      <c r="R117" s="14">
        <f>'proyección hogares'!B353*'provincia (%)'!K59</f>
        <v>43238.43722</v>
      </c>
    </row>
    <row r="118" ht="15.0" customHeight="1">
      <c r="A118" s="6" t="s">
        <v>60</v>
      </c>
      <c r="B118" s="7" t="s">
        <v>21</v>
      </c>
      <c r="C118" s="8">
        <f>'proyección hogares'!Q360*'provincia (%)'!K37</f>
        <v>29593.43909</v>
      </c>
      <c r="D118" s="8">
        <f>'proyección hogares'!P360*'provincia (%)'!K37</f>
        <v>30518.71814</v>
      </c>
      <c r="E118" s="8">
        <f>'proyección hogares'!O360*'provincia (%)'!K37</f>
        <v>31411.12693</v>
      </c>
      <c r="F118" s="8">
        <f>'proyección hogares'!N360*'provincia (%)'!K37</f>
        <v>32250.64104</v>
      </c>
      <c r="G118" s="8">
        <f>'proyección hogares'!M360*'provincia (%)'!K37</f>
        <v>33124.15887</v>
      </c>
      <c r="H118" s="8">
        <f>'proyección hogares'!L360*'provincia (%)'!K37</f>
        <v>34010.90037</v>
      </c>
      <c r="I118" s="8">
        <f>'proyección hogares'!K360*'provincia (%)'!K37</f>
        <v>34830.01225</v>
      </c>
      <c r="J118" s="8">
        <f>'proyección hogares'!J360*'provincia (%)'!K37</f>
        <v>35590.93998</v>
      </c>
      <c r="K118" s="8">
        <f>'proyección hogares'!I360*'provincia (%)'!K37</f>
        <v>36350.35643</v>
      </c>
      <c r="L118" s="8">
        <f>'proyección hogares'!H360*'provincia (%)'!K37</f>
        <v>37092.39321</v>
      </c>
      <c r="M118" s="8">
        <f>'proyección hogares'!G360*'provincia (%)'!K37</f>
        <v>37774.35674</v>
      </c>
      <c r="N118" s="8">
        <f>'proyección hogares'!F360*'provincia (%)'!K37</f>
        <v>38446.11915</v>
      </c>
      <c r="O118" s="8">
        <f>'proyección hogares'!E360*'provincia (%)'!K37</f>
        <v>39103.90226</v>
      </c>
      <c r="P118" s="8">
        <f>'proyección hogares'!D360*'provincia (%)'!K37</f>
        <v>39753.37335</v>
      </c>
      <c r="Q118" s="8">
        <f>'proyección hogares'!C360*'provincia (%)'!K37</f>
        <v>40391.50986</v>
      </c>
      <c r="R118" s="8">
        <f>'proyección hogares'!B360*'provincia (%)'!K37</f>
        <v>41008.86632</v>
      </c>
    </row>
    <row r="119" ht="15.0" customHeight="1">
      <c r="A119" s="9"/>
      <c r="B119" s="10" t="s">
        <v>22</v>
      </c>
      <c r="C119" s="11">
        <f>'proyección hogares'!Q360*'provincia (%)'!K38</f>
        <v>16481.53321</v>
      </c>
      <c r="D119" s="11">
        <f>'proyección hogares'!P360*'provincia (%)'!K38</f>
        <v>16996.85072</v>
      </c>
      <c r="E119" s="11">
        <f>'proyección hogares'!O360*'provincia (%)'!K38</f>
        <v>17493.86173</v>
      </c>
      <c r="F119" s="11">
        <f>'proyección hogares'!N360*'provincia (%)'!K38</f>
        <v>17961.414</v>
      </c>
      <c r="G119" s="11">
        <f>'proyección hogares'!M360*'provincia (%)'!K38</f>
        <v>18447.90403</v>
      </c>
      <c r="H119" s="11">
        <f>'proyección hogares'!L360*'provincia (%)'!K38</f>
        <v>18941.75875</v>
      </c>
      <c r="I119" s="11">
        <f>'proyección hogares'!K360*'provincia (%)'!K38</f>
        <v>19397.94837</v>
      </c>
      <c r="J119" s="11">
        <f>'proyección hogares'!J360*'provincia (%)'!K38</f>
        <v>19821.73337</v>
      </c>
      <c r="K119" s="11">
        <f>'proyección hogares'!I360*'provincia (%)'!K38</f>
        <v>20244.67669</v>
      </c>
      <c r="L119" s="11">
        <f>'proyección hogares'!H360*'provincia (%)'!K38</f>
        <v>20657.94072</v>
      </c>
      <c r="M119" s="11">
        <f>'proyección hogares'!G360*'provincia (%)'!K38</f>
        <v>21037.74803</v>
      </c>
      <c r="N119" s="11">
        <f>'proyección hogares'!F360*'provincia (%)'!K38</f>
        <v>21411.87401</v>
      </c>
      <c r="O119" s="11">
        <f>'proyección hogares'!E360*'provincia (%)'!K38</f>
        <v>21778.21448</v>
      </c>
      <c r="P119" s="11">
        <f>'proyección hogares'!D360*'provincia (%)'!K38</f>
        <v>22139.92571</v>
      </c>
      <c r="Q119" s="11">
        <f>'proyección hogares'!C360*'provincia (%)'!K38</f>
        <v>22495.32435</v>
      </c>
      <c r="R119" s="11">
        <f>'proyección hogares'!B360*'provincia (%)'!K38</f>
        <v>22839.14992</v>
      </c>
    </row>
    <row r="120" ht="15.0" customHeight="1">
      <c r="A120" s="12"/>
      <c r="B120" s="13" t="s">
        <v>23</v>
      </c>
      <c r="C120" s="14">
        <f>'proyección hogares'!Q360*'provincia (%)'!K39</f>
        <v>41663.96456</v>
      </c>
      <c r="D120" s="14">
        <f>'proyección hogares'!P360*'provincia (%)'!K39</f>
        <v>42966.64498</v>
      </c>
      <c r="E120" s="14">
        <f>'proyección hogares'!O360*'provincia (%)'!K39</f>
        <v>44223.04806</v>
      </c>
      <c r="F120" s="14">
        <f>'proyección hogares'!N360*'provincia (%)'!K39</f>
        <v>45404.98186</v>
      </c>
      <c r="G120" s="14">
        <f>'proyección hogares'!M360*'provincia (%)'!K39</f>
        <v>46634.78878</v>
      </c>
      <c r="H120" s="14">
        <f>'proyección hogares'!L360*'provincia (%)'!K39</f>
        <v>47883.21301</v>
      </c>
      <c r="I120" s="14">
        <f>'proyección hogares'!K360*'provincia (%)'!K39</f>
        <v>49036.42295</v>
      </c>
      <c r="J120" s="14">
        <f>'proyección hogares'!J360*'provincia (%)'!K39</f>
        <v>50107.71669</v>
      </c>
      <c r="K120" s="14">
        <f>'proyección hogares'!I360*'provincia (%)'!K39</f>
        <v>51176.88273</v>
      </c>
      <c r="L120" s="14">
        <f>'proyección hogares'!H360*'provincia (%)'!K39</f>
        <v>52221.5803</v>
      </c>
      <c r="M120" s="14">
        <f>'proyección hogares'!G360*'provincia (%)'!K39</f>
        <v>53181.70205</v>
      </c>
      <c r="N120" s="14">
        <f>'proyección hogares'!F360*'provincia (%)'!K39</f>
        <v>54127.46186</v>
      </c>
      <c r="O120" s="14">
        <f>'proyección hogares'!E360*'provincia (%)'!K39</f>
        <v>55053.54051</v>
      </c>
      <c r="P120" s="14">
        <f>'proyección hogares'!D360*'provincia (%)'!K39</f>
        <v>55967.91684</v>
      </c>
      <c r="Q120" s="14">
        <f>'proyección hogares'!C360*'provincia (%)'!K39</f>
        <v>56866.33548</v>
      </c>
      <c r="R120" s="14">
        <f>'proyección hogares'!B360*'provincia (%)'!K39</f>
        <v>57735.49832</v>
      </c>
    </row>
    <row r="121" ht="15.0" customHeight="1">
      <c r="A121" s="6" t="s">
        <v>61</v>
      </c>
      <c r="B121" s="7" t="s">
        <v>21</v>
      </c>
      <c r="C121" s="8">
        <f>'proyección hogares'!Q374*'provincia (%)'!K157</f>
        <v>33284.92613</v>
      </c>
      <c r="D121" s="8">
        <f>'proyección hogares'!P374*'provincia (%)'!K157</f>
        <v>34189.17705</v>
      </c>
      <c r="E121" s="8">
        <f>'proyección hogares'!O374*'provincia (%)'!K157</f>
        <v>35102.86364</v>
      </c>
      <c r="F121" s="8">
        <f>'proyección hogares'!N374*'provincia (%)'!K157</f>
        <v>35997.04986</v>
      </c>
      <c r="G121" s="8">
        <f>'proyección hogares'!M374*'provincia (%)'!K157</f>
        <v>36867.3324</v>
      </c>
      <c r="H121" s="8">
        <f>'proyección hogares'!L374*'provincia (%)'!K157</f>
        <v>37761.51862</v>
      </c>
      <c r="I121" s="8">
        <f>'proyección hogares'!K374*'provincia (%)'!K157</f>
        <v>38620.47837</v>
      </c>
      <c r="J121" s="8">
        <f>'proyección hogares'!J374*'provincia (%)'!K157</f>
        <v>39432.88885</v>
      </c>
      <c r="K121" s="8">
        <f>'proyección hogares'!I374*'provincia (%)'!K157</f>
        <v>40213.5326</v>
      </c>
      <c r="L121" s="8">
        <f>'proyección hogares'!H374*'provincia (%)'!K157</f>
        <v>40990.40209</v>
      </c>
      <c r="M121" s="8">
        <f>'proyección hogares'!G374*'provincia (%)'!K157</f>
        <v>41724.49658</v>
      </c>
      <c r="N121" s="8">
        <f>'proyección hogares'!F374*'provincia (%)'!K157</f>
        <v>42451.98611</v>
      </c>
      <c r="O121" s="8">
        <f>'proyección hogares'!E374*'provincia (%)'!K157</f>
        <v>43172.24163</v>
      </c>
      <c r="P121" s="8">
        <f>'proyección hogares'!D374*'provincia (%)'!K157</f>
        <v>43881.17435</v>
      </c>
      <c r="Q121" s="8">
        <f>'proyección hogares'!C374*'provincia (%)'!K157</f>
        <v>44565.88888</v>
      </c>
      <c r="R121" s="8">
        <f>'proyección hogares'!B374*'provincia (%)'!K157</f>
        <v>45206.57032</v>
      </c>
    </row>
    <row r="122" ht="15.0" customHeight="1">
      <c r="A122" s="9"/>
      <c r="B122" s="10" t="s">
        <v>22</v>
      </c>
      <c r="C122" s="11">
        <f>'proyección hogares'!Q374*'provincia (%)'!K158</f>
        <v>19076.05143</v>
      </c>
      <c r="D122" s="11">
        <f>'proyección hogares'!P374*'provincia (%)'!K158</f>
        <v>19594.29014</v>
      </c>
      <c r="E122" s="11">
        <f>'proyección hogares'!O374*'provincia (%)'!K158</f>
        <v>20117.93656</v>
      </c>
      <c r="F122" s="11">
        <f>'proyección hogares'!N374*'provincia (%)'!K158</f>
        <v>20630.40705</v>
      </c>
      <c r="G122" s="11">
        <f>'proyección hogares'!M374*'provincia (%)'!K158</f>
        <v>21129.17801</v>
      </c>
      <c r="H122" s="11">
        <f>'proyección hogares'!L374*'provincia (%)'!K158</f>
        <v>21641.64849</v>
      </c>
      <c r="I122" s="11">
        <f>'proyección hogares'!K374*'provincia (%)'!K158</f>
        <v>22133.9302</v>
      </c>
      <c r="J122" s="11">
        <f>'proyección hogares'!J374*'provincia (%)'!K158</f>
        <v>22599.53388</v>
      </c>
      <c r="K122" s="11">
        <f>'proyección hogares'!I374*'provincia (%)'!K158</f>
        <v>23046.93161</v>
      </c>
      <c r="L122" s="11">
        <f>'proyección hogares'!H374*'provincia (%)'!K158</f>
        <v>23492.16626</v>
      </c>
      <c r="M122" s="11">
        <f>'proyección hogares'!G374*'provincia (%)'!K158</f>
        <v>23912.88597</v>
      </c>
      <c r="N122" s="11">
        <f>'proyección hogares'!F374*'provincia (%)'!K158</f>
        <v>24329.82027</v>
      </c>
      <c r="O122" s="11">
        <f>'proyección hogares'!E374*'provincia (%)'!K158</f>
        <v>24742.60867</v>
      </c>
      <c r="P122" s="11">
        <f>'proyección hogares'!D374*'provincia (%)'!K158</f>
        <v>25148.90782</v>
      </c>
      <c r="Q122" s="11">
        <f>'proyección hogares'!C374*'provincia (%)'!K158</f>
        <v>25541.32718</v>
      </c>
      <c r="R122" s="11">
        <f>'proyección hogares'!B374*'provincia (%)'!K158</f>
        <v>25908.51057</v>
      </c>
    </row>
    <row r="123" ht="15.0" customHeight="1">
      <c r="A123" s="12"/>
      <c r="B123" s="13" t="s">
        <v>23</v>
      </c>
      <c r="C123" s="14">
        <f>'proyección hogares'!Q374*'provincia (%)'!K159</f>
        <v>46554.97872</v>
      </c>
      <c r="D123" s="14">
        <f>'proyección hogares'!P374*'provincia (%)'!K159</f>
        <v>47819.7369</v>
      </c>
      <c r="E123" s="14">
        <f>'proyección hogares'!O374*'provincia (%)'!K159</f>
        <v>49097.69256</v>
      </c>
      <c r="F123" s="14">
        <f>'proyección hogares'!N374*'provincia (%)'!K159</f>
        <v>50348.37343</v>
      </c>
      <c r="G123" s="14">
        <f>'proyección hogares'!M374*'provincia (%)'!K159</f>
        <v>51565.62069</v>
      </c>
      <c r="H123" s="14">
        <f>'proyección hogares'!L374*'provincia (%)'!K159</f>
        <v>52816.30156</v>
      </c>
      <c r="I123" s="14">
        <f>'proyección hogares'!K374*'provincia (%)'!K159</f>
        <v>54017.71186</v>
      </c>
      <c r="J123" s="14">
        <f>'proyección hogares'!J374*'provincia (%)'!K159</f>
        <v>55154.0146</v>
      </c>
      <c r="K123" s="14">
        <f>'proyección hogares'!I374*'provincia (%)'!K159</f>
        <v>56245.88583</v>
      </c>
      <c r="L123" s="14">
        <f>'proyección hogares'!H374*'provincia (%)'!K159</f>
        <v>57332.47808</v>
      </c>
      <c r="M123" s="14">
        <f>'proyección hogares'!G374*'provincia (%)'!K159</f>
        <v>58359.24176</v>
      </c>
      <c r="N123" s="14">
        <f>'proyección hogares'!F374*'provincia (%)'!K159</f>
        <v>59376.76721</v>
      </c>
      <c r="O123" s="14">
        <f>'proyección hogares'!E374*'provincia (%)'!K159</f>
        <v>60384.17459</v>
      </c>
      <c r="P123" s="14">
        <f>'proyección hogares'!D374*'provincia (%)'!K159</f>
        <v>61375.74501</v>
      </c>
      <c r="Q123" s="14">
        <f>'proyección hogares'!C374*'provincia (%)'!K159</f>
        <v>62333.44189</v>
      </c>
      <c r="R123" s="14">
        <f>'proyección hogares'!B374*'provincia (%)'!K159</f>
        <v>63229.55056</v>
      </c>
    </row>
    <row r="124" ht="15.0" customHeight="1">
      <c r="A124" s="6" t="s">
        <v>62</v>
      </c>
      <c r="B124" s="7" t="s">
        <v>21</v>
      </c>
      <c r="C124" s="8">
        <f>'proyección hogares'!Q388*'provincia (%)'!K125</f>
        <v>17358.33409</v>
      </c>
      <c r="D124" s="8">
        <f>'proyección hogares'!P388*'provincia (%)'!K125</f>
        <v>17731.73695</v>
      </c>
      <c r="E124" s="8">
        <f>'proyección hogares'!O388*'provincia (%)'!K125</f>
        <v>18102.96253</v>
      </c>
      <c r="F124" s="8">
        <f>'proyección hogares'!N388*'provincia (%)'!K125</f>
        <v>18467.65628</v>
      </c>
      <c r="G124" s="8">
        <f>'proyección hogares'!M388*'provincia (%)'!K125</f>
        <v>18823.64093</v>
      </c>
      <c r="H124" s="8">
        <f>'proyección hogares'!L388*'provincia (%)'!K125</f>
        <v>19172.368</v>
      </c>
      <c r="I124" s="8">
        <f>'proyección hogares'!K388*'provincia (%)'!K125</f>
        <v>19510.57156</v>
      </c>
      <c r="J124" s="8">
        <f>'proyección hogares'!J388*'provincia (%)'!K125</f>
        <v>19829.90539</v>
      </c>
      <c r="K124" s="8">
        <f>'proyección hogares'!I388*'provincia (%)'!K125</f>
        <v>20138.71573</v>
      </c>
      <c r="L124" s="8">
        <f>'proyección hogares'!H388*'provincia (%)'!K125</f>
        <v>20444.26015</v>
      </c>
      <c r="M124" s="8">
        <f>'proyección hogares'!G388*'provincia (%)'!K125</f>
        <v>20736.74091</v>
      </c>
      <c r="N124" s="8">
        <f>'proyección hogares'!F388*'provincia (%)'!K125</f>
        <v>21028.49591</v>
      </c>
      <c r="O124" s="8">
        <f>'proyección hogares'!E388*'provincia (%)'!K125</f>
        <v>21312.99333</v>
      </c>
      <c r="P124" s="8">
        <f>'proyección hogares'!D388*'provincia (%)'!K125</f>
        <v>21592.77331</v>
      </c>
      <c r="Q124" s="8">
        <f>'proyección hogares'!C388*'provincia (%)'!K125</f>
        <v>21863.11843</v>
      </c>
      <c r="R124" s="8">
        <f>'proyección hogares'!B388*'provincia (%)'!K125</f>
        <v>22121.85142</v>
      </c>
    </row>
    <row r="125" ht="15.0" customHeight="1">
      <c r="A125" s="9"/>
      <c r="B125" s="10" t="s">
        <v>22</v>
      </c>
      <c r="C125" s="11">
        <f>'proyección hogares'!Q388*'provincia (%)'!K126</f>
        <v>12229.03103</v>
      </c>
      <c r="D125" s="11">
        <f>'proyección hogares'!P388*'provincia (%)'!K126</f>
        <v>12492.09516</v>
      </c>
      <c r="E125" s="11">
        <f>'proyección hogares'!O388*'provincia (%)'!K126</f>
        <v>12753.6254</v>
      </c>
      <c r="F125" s="11">
        <f>'proyección hogares'!N388*'provincia (%)'!K126</f>
        <v>13010.55393</v>
      </c>
      <c r="G125" s="11">
        <f>'proyección hogares'!M388*'provincia (%)'!K126</f>
        <v>13261.34685</v>
      </c>
      <c r="H125" s="11">
        <f>'proyección hogares'!L388*'provincia (%)'!K126</f>
        <v>13507.02676</v>
      </c>
      <c r="I125" s="11">
        <f>'proyección hogares'!K388*'provincia (%)'!K126</f>
        <v>13745.29282</v>
      </c>
      <c r="J125" s="11">
        <f>'proyección hogares'!J388*'provincia (%)'!K126</f>
        <v>13970.26507</v>
      </c>
      <c r="K125" s="11">
        <f>'proyección hogares'!I388*'provincia (%)'!K126</f>
        <v>14187.82345</v>
      </c>
      <c r="L125" s="11">
        <f>'proyección hogares'!H388*'provincia (%)'!K126</f>
        <v>14403.08099</v>
      </c>
      <c r="M125" s="11">
        <f>'proyección hogares'!G388*'provincia (%)'!K126</f>
        <v>14609.13511</v>
      </c>
      <c r="N125" s="11">
        <f>'proyección hogares'!F388*'provincia (%)'!K126</f>
        <v>14814.67793</v>
      </c>
      <c r="O125" s="11">
        <f>'proyección hogares'!E388*'provincia (%)'!K126</f>
        <v>15015.10775</v>
      </c>
      <c r="P125" s="11">
        <f>'proyección hogares'!D388*'provincia (%)'!K126</f>
        <v>15212.21412</v>
      </c>
      <c r="Q125" s="11">
        <f>'proyección hogares'!C388*'provincia (%)'!K126</f>
        <v>15402.67357</v>
      </c>
      <c r="R125" s="11">
        <f>'proyección hogares'!B388*'provincia (%)'!K126</f>
        <v>15584.95222</v>
      </c>
    </row>
    <row r="126" ht="15.0" customHeight="1">
      <c r="A126" s="12"/>
      <c r="B126" s="13" t="s">
        <v>23</v>
      </c>
      <c r="C126" s="14">
        <f>'proyección hogares'!Q388*'provincia (%)'!K127</f>
        <v>22613.17406</v>
      </c>
      <c r="D126" s="14">
        <f>'proyección hogares'!P388*'provincia (%)'!K127</f>
        <v>23099.61613</v>
      </c>
      <c r="E126" s="14">
        <f>'proyección hogares'!O388*'provincia (%)'!K127</f>
        <v>23583.22179</v>
      </c>
      <c r="F126" s="14">
        <f>'proyección hogares'!N388*'provincia (%)'!K127</f>
        <v>24058.31827</v>
      </c>
      <c r="G126" s="14">
        <f>'proyección hogares'!M388*'provincia (%)'!K127</f>
        <v>24522.06916</v>
      </c>
      <c r="H126" s="14">
        <f>'proyección hogares'!L388*'provincia (%)'!K127</f>
        <v>24976.36539</v>
      </c>
      <c r="I126" s="14">
        <f>'proyección hogares'!K388*'provincia (%)'!K127</f>
        <v>25416.95237</v>
      </c>
      <c r="J126" s="14">
        <f>'proyección hogares'!J388*'provincia (%)'!K127</f>
        <v>25832.95725</v>
      </c>
      <c r="K126" s="14">
        <f>'proyección hogares'!I388*'provincia (%)'!K127</f>
        <v>26235.25287</v>
      </c>
      <c r="L126" s="14">
        <f>'proyección hogares'!H388*'provincia (%)'!K127</f>
        <v>26633.2939</v>
      </c>
      <c r="M126" s="14">
        <f>'proyección hogares'!G388*'provincia (%)'!K127</f>
        <v>27014.31654</v>
      </c>
      <c r="N126" s="14">
        <f>'proyección hogares'!F388*'provincia (%)'!K127</f>
        <v>27394.39372</v>
      </c>
      <c r="O126" s="14">
        <f>'proyección hogares'!E388*'provincia (%)'!K127</f>
        <v>27765.01625</v>
      </c>
      <c r="P126" s="14">
        <f>'proyección hogares'!D388*'provincia (%)'!K127</f>
        <v>28129.49325</v>
      </c>
      <c r="Q126" s="14">
        <f>'proyección hogares'!C388*'provincia (%)'!K127</f>
        <v>28481.67919</v>
      </c>
      <c r="R126" s="14">
        <f>'proyección hogares'!B388*'provincia (%)'!K127</f>
        <v>28818.73769</v>
      </c>
    </row>
    <row r="127" ht="15.0" customHeight="1">
      <c r="A127" s="6" t="s">
        <v>63</v>
      </c>
      <c r="B127" s="7" t="s">
        <v>21</v>
      </c>
      <c r="C127" s="8">
        <f>'proyección hogares'!Q395*'provincia (%)'!K145</f>
        <v>20049.0907</v>
      </c>
      <c r="D127" s="8">
        <f>'proyección hogares'!P395*'provincia (%)'!K145</f>
        <v>20492.18948</v>
      </c>
      <c r="E127" s="8">
        <f>'proyección hogares'!O395*'provincia (%)'!K145</f>
        <v>20932.41367</v>
      </c>
      <c r="F127" s="8">
        <f>'proyección hogares'!N395*'provincia (%)'!K145</f>
        <v>21360.31815</v>
      </c>
      <c r="G127" s="8">
        <f>'proyección hogares'!M395*'provincia (%)'!K145</f>
        <v>21776.31358</v>
      </c>
      <c r="H127" s="8">
        <f>'proyección hogares'!L395*'provincia (%)'!K145</f>
        <v>22187.79178</v>
      </c>
      <c r="I127" s="8">
        <f>'proyección hogares'!K395*'provincia (%)'!K145</f>
        <v>22579.55846</v>
      </c>
      <c r="J127" s="8">
        <f>'proyección hogares'!J395*'provincia (%)'!K145</f>
        <v>22945.8644</v>
      </c>
      <c r="K127" s="8">
        <f>'proyección hogares'!I395*'provincia (%)'!K145</f>
        <v>23295.74407</v>
      </c>
      <c r="L127" s="8">
        <f>'proyección hogares'!H395*'provincia (%)'!K145</f>
        <v>23636.99995</v>
      </c>
      <c r="M127" s="8">
        <f>'proyección hogares'!G395*'provincia (%)'!K145</f>
        <v>23965.52546</v>
      </c>
      <c r="N127" s="8">
        <f>'proyección hogares'!F395*'provincia (%)'!K145</f>
        <v>24283.3739</v>
      </c>
      <c r="O127" s="8">
        <f>'proyección hogares'!E395*'provincia (%)'!K145</f>
        <v>24597.52642</v>
      </c>
      <c r="P127" s="8">
        <f>'proyección hogares'!D395*'provincia (%)'!K145</f>
        <v>24911.26828</v>
      </c>
      <c r="Q127" s="8">
        <f>'proyección hogares'!C395*'provincia (%)'!K145</f>
        <v>25211.45847</v>
      </c>
      <c r="R127" s="8">
        <f>'proyección hogares'!B395*'provincia (%)'!K145</f>
        <v>25487.4199</v>
      </c>
    </row>
    <row r="128" ht="15.0" customHeight="1">
      <c r="A128" s="9"/>
      <c r="B128" s="10" t="s">
        <v>22</v>
      </c>
      <c r="C128" s="11">
        <f>'proyección hogares'!Q395*'provincia (%)'!K146</f>
        <v>13152.82764</v>
      </c>
      <c r="D128" s="11">
        <f>'proyección hogares'!P395*'provincia (%)'!K146</f>
        <v>13443.51424</v>
      </c>
      <c r="E128" s="11">
        <f>'proyección hogares'!O395*'provincia (%)'!K146</f>
        <v>13732.31501</v>
      </c>
      <c r="F128" s="11">
        <f>'proyección hogares'!N395*'provincia (%)'!K146</f>
        <v>14013.03367</v>
      </c>
      <c r="G128" s="11">
        <f>'proyección hogares'!M395*'provincia (%)'!K146</f>
        <v>14285.93962</v>
      </c>
      <c r="H128" s="11">
        <f>'proyección hogares'!L395*'provincia (%)'!K146</f>
        <v>14555.88213</v>
      </c>
      <c r="I128" s="11">
        <f>'proyección hogares'!K395*'provincia (%)'!K146</f>
        <v>14812.89327</v>
      </c>
      <c r="J128" s="11">
        <f>'proyección hogares'!J395*'provincia (%)'!K146</f>
        <v>15053.20137</v>
      </c>
      <c r="K128" s="11">
        <f>'proyección hogares'!I395*'provincia (%)'!K146</f>
        <v>15282.73333</v>
      </c>
      <c r="L128" s="11">
        <f>'proyección hogares'!H395*'provincia (%)'!K146</f>
        <v>15506.6078</v>
      </c>
      <c r="M128" s="11">
        <f>'proyección hogares'!G395*'provincia (%)'!K146</f>
        <v>15722.13077</v>
      </c>
      <c r="N128" s="11">
        <f>'proyección hogares'!F395*'provincia (%)'!K146</f>
        <v>15930.64923</v>
      </c>
      <c r="O128" s="11">
        <f>'proyección hogares'!E395*'provincia (%)'!K146</f>
        <v>16136.74307</v>
      </c>
      <c r="P128" s="11">
        <f>'proyección hogares'!D395*'provincia (%)'!K146</f>
        <v>16342.5675</v>
      </c>
      <c r="Q128" s="11">
        <f>'proyección hogares'!C395*'provincia (%)'!K146</f>
        <v>16539.50161</v>
      </c>
      <c r="R128" s="11">
        <f>'proyección hogares'!B395*'provincia (%)'!K146</f>
        <v>16720.54089</v>
      </c>
    </row>
    <row r="129" ht="15.0" customHeight="1">
      <c r="A129" s="12"/>
      <c r="B129" s="13" t="s">
        <v>23</v>
      </c>
      <c r="C129" s="14">
        <f>'proyección hogares'!Q395*'provincia (%)'!K147</f>
        <v>26142.9317</v>
      </c>
      <c r="D129" s="14">
        <f>'proyección hogares'!P395*'provincia (%)'!K147</f>
        <v>26720.70859</v>
      </c>
      <c r="E129" s="14">
        <f>'proyección hogares'!O395*'provincia (%)'!K147</f>
        <v>27294.73716</v>
      </c>
      <c r="F129" s="14">
        <f>'proyección hogares'!N395*'provincia (%)'!K147</f>
        <v>27852.70149</v>
      </c>
      <c r="G129" s="14">
        <f>'proyección hogares'!M395*'provincia (%)'!K147</f>
        <v>28395.13707</v>
      </c>
      <c r="H129" s="14">
        <f>'proyección hogares'!L395*'provincia (%)'!K147</f>
        <v>28931.68243</v>
      </c>
      <c r="I129" s="14">
        <f>'proyección hogares'!K395*'provincia (%)'!K147</f>
        <v>29442.52502</v>
      </c>
      <c r="J129" s="14">
        <f>'proyección hogares'!J395*'provincia (%)'!K147</f>
        <v>29920.1682</v>
      </c>
      <c r="K129" s="14">
        <f>'proyección hogares'!I395*'provincia (%)'!K147</f>
        <v>30376.39239</v>
      </c>
      <c r="L129" s="14">
        <f>'proyección hogares'!H395*'provincia (%)'!K147</f>
        <v>30821.37163</v>
      </c>
      <c r="M129" s="14">
        <f>'proyección hogares'!G395*'provincia (%)'!K147</f>
        <v>31249.75116</v>
      </c>
      <c r="N129" s="14">
        <f>'proyección hogares'!F395*'provincia (%)'!K147</f>
        <v>31664.20835</v>
      </c>
      <c r="O129" s="14">
        <f>'proyección hogares'!E395*'provincia (%)'!K147</f>
        <v>32073.84628</v>
      </c>
      <c r="P129" s="14">
        <f>'proyección hogares'!D395*'provincia (%)'!K147</f>
        <v>32482.94873</v>
      </c>
      <c r="Q129" s="14">
        <f>'proyección hogares'!C395*'provincia (%)'!K147</f>
        <v>32874.38052</v>
      </c>
      <c r="R129" s="14">
        <f>'proyección hogares'!B395*'provincia (%)'!K147</f>
        <v>33234.21933</v>
      </c>
    </row>
    <row r="130" ht="15.0" customHeight="1">
      <c r="A130" s="6" t="s">
        <v>64</v>
      </c>
      <c r="B130" s="7" t="s">
        <v>21</v>
      </c>
      <c r="C130" s="8">
        <f>'proyección hogares'!Q409*'provincia (%)'!K129</f>
        <v>222697.1034</v>
      </c>
      <c r="D130" s="8">
        <f>'proyección hogares'!P409*'provincia (%)'!K129</f>
        <v>230183.6993</v>
      </c>
      <c r="E130" s="8">
        <f>'proyección hogares'!O409*'provincia (%)'!K129</f>
        <v>237666.7551</v>
      </c>
      <c r="F130" s="8">
        <f>'proyección hogares'!N409*'provincia (%)'!K129</f>
        <v>244902.6392</v>
      </c>
      <c r="G130" s="8">
        <f>'proyección hogares'!M409*'provincia (%)'!K129</f>
        <v>252103.443</v>
      </c>
      <c r="H130" s="8">
        <f>'proyección hogares'!L409*'provincia (%)'!K129</f>
        <v>259312.6146</v>
      </c>
      <c r="I130" s="8">
        <f>'proyección hogares'!K409*'provincia (%)'!K129</f>
        <v>266063.8107</v>
      </c>
      <c r="J130" s="8">
        <f>'proyección hogares'!J409*'provincia (%)'!K129</f>
        <v>272409.4908</v>
      </c>
      <c r="K130" s="8">
        <f>'proyección hogares'!I409*'provincia (%)'!K129</f>
        <v>278580.413</v>
      </c>
      <c r="L130" s="8">
        <f>'proyección hogares'!H409*'provincia (%)'!K129</f>
        <v>284627.4275</v>
      </c>
      <c r="M130" s="8">
        <f>'proyección hogares'!G409*'provincia (%)'!K129</f>
        <v>290460.4197</v>
      </c>
      <c r="N130" s="8">
        <f>'proyección hogares'!F409*'provincia (%)'!K129</f>
        <v>296235.4811</v>
      </c>
      <c r="O130" s="8">
        <f>'proyección hogares'!E409*'provincia (%)'!K129</f>
        <v>301959.0484</v>
      </c>
      <c r="P130" s="8">
        <f>'proyección hogares'!D409*'provincia (%)'!K129</f>
        <v>307606.3401</v>
      </c>
      <c r="Q130" s="8">
        <f>'proyección hogares'!C409*'provincia (%)'!K129</f>
        <v>313135.8391</v>
      </c>
      <c r="R130" s="8">
        <f>'proyección hogares'!B409*'provincia (%)'!K129</f>
        <v>318466.4421</v>
      </c>
    </row>
    <row r="131" ht="15.0" customHeight="1">
      <c r="A131" s="9"/>
      <c r="B131" s="10" t="s">
        <v>22</v>
      </c>
      <c r="C131" s="11">
        <f>'proyección hogares'!Q409*'provincia (%)'!K130</f>
        <v>124384.9092</v>
      </c>
      <c r="D131" s="11">
        <f>'proyección hogares'!P409*'provincia (%)'!K130</f>
        <v>128566.4613</v>
      </c>
      <c r="E131" s="11">
        <f>'proyección hogares'!O409*'provincia (%)'!K130</f>
        <v>132746.0362</v>
      </c>
      <c r="F131" s="11">
        <f>'proyección hogares'!N409*'provincia (%)'!K130</f>
        <v>136787.5561</v>
      </c>
      <c r="G131" s="11">
        <f>'proyección hogares'!M409*'provincia (%)'!K130</f>
        <v>140809.4824</v>
      </c>
      <c r="H131" s="11">
        <f>'proyección hogares'!L409*'provincia (%)'!K130</f>
        <v>144836.0824</v>
      </c>
      <c r="I131" s="11">
        <f>'proyección hogares'!K409*'provincia (%)'!K130</f>
        <v>148606.8854</v>
      </c>
      <c r="J131" s="11">
        <f>'proyección hogares'!J409*'provincia (%)'!K130</f>
        <v>152151.1922</v>
      </c>
      <c r="K131" s="11">
        <f>'proyección hogares'!I409*'provincia (%)'!K130</f>
        <v>155597.8899</v>
      </c>
      <c r="L131" s="11">
        <f>'proyección hogares'!H409*'provincia (%)'!K130</f>
        <v>158975.3804</v>
      </c>
      <c r="M131" s="11">
        <f>'proyección hogares'!G409*'provincia (%)'!K130</f>
        <v>162233.3312</v>
      </c>
      <c r="N131" s="11">
        <f>'proyección hogares'!F409*'provincia (%)'!K130</f>
        <v>165458.9254</v>
      </c>
      <c r="O131" s="11">
        <f>'proyección hogares'!E409*'provincia (%)'!K130</f>
        <v>168655.7581</v>
      </c>
      <c r="P131" s="11">
        <f>'proyección hogares'!D409*'provincia (%)'!K130</f>
        <v>171809.988</v>
      </c>
      <c r="Q131" s="11">
        <f>'proyección hogares'!C409*'provincia (%)'!K130</f>
        <v>174898.4262</v>
      </c>
      <c r="R131" s="11">
        <f>'proyección hogares'!B409*'provincia (%)'!K130</f>
        <v>177875.7733</v>
      </c>
    </row>
    <row r="132" ht="15.0" customHeight="1">
      <c r="A132" s="12"/>
      <c r="B132" s="13" t="s">
        <v>23</v>
      </c>
      <c r="C132" s="14">
        <f>'proyección hogares'!Q409*'provincia (%)'!K131</f>
        <v>291471.651</v>
      </c>
      <c r="D132" s="14">
        <f>'proyección hogares'!P409*'provincia (%)'!K131</f>
        <v>301270.2988</v>
      </c>
      <c r="E132" s="14">
        <f>'proyección hogares'!O409*'provincia (%)'!K131</f>
        <v>311064.3131</v>
      </c>
      <c r="F132" s="14">
        <f>'proyección hogares'!N409*'provincia (%)'!K131</f>
        <v>320534.8229</v>
      </c>
      <c r="G132" s="14">
        <f>'proyección hogares'!M409*'provincia (%)'!K131</f>
        <v>329959.4186</v>
      </c>
      <c r="H132" s="14">
        <f>'proyección hogares'!L409*'provincia (%)'!K131</f>
        <v>339394.9664</v>
      </c>
      <c r="I132" s="14">
        <f>'proyección hogares'!K409*'provincia (%)'!K131</f>
        <v>348231.1041</v>
      </c>
      <c r="J132" s="14">
        <f>'proyección hogares'!J409*'provincia (%)'!K131</f>
        <v>356536.4922</v>
      </c>
      <c r="K132" s="14">
        <f>'proyección hogares'!I409*'provincia (%)'!K131</f>
        <v>364613.1525</v>
      </c>
      <c r="L132" s="14">
        <f>'proyección hogares'!H409*'provincia (%)'!K131</f>
        <v>372527.6394</v>
      </c>
      <c r="M132" s="14">
        <f>'proyección hogares'!G409*'provincia (%)'!K131</f>
        <v>380162.0085</v>
      </c>
      <c r="N132" s="14">
        <f>'proyección hogares'!F409*'provincia (%)'!K131</f>
        <v>387720.5562</v>
      </c>
      <c r="O132" s="14">
        <f>'proyección hogares'!E409*'provincia (%)'!K131</f>
        <v>395211.7071</v>
      </c>
      <c r="P132" s="14">
        <f>'proyección hogares'!D409*'provincia (%)'!K131</f>
        <v>402603.0265</v>
      </c>
      <c r="Q132" s="14">
        <f>'proyección hogares'!C409*'provincia (%)'!K131</f>
        <v>409840.1759</v>
      </c>
      <c r="R132" s="14">
        <f>'proyección hogares'!B409*'provincia (%)'!K131</f>
        <v>416817.0052</v>
      </c>
    </row>
    <row r="133" ht="15.0" customHeight="1">
      <c r="A133" s="6" t="s">
        <v>65</v>
      </c>
      <c r="B133" s="7" t="s">
        <v>21</v>
      </c>
      <c r="C133" s="8">
        <f>'proyección hogares'!Q423*'provincia (%)'!K137</f>
        <v>48976.45664</v>
      </c>
      <c r="D133" s="8">
        <f>'proyección hogares'!P423*'provincia (%)'!K137</f>
        <v>51089.57025</v>
      </c>
      <c r="E133" s="8">
        <f>'proyección hogares'!O423*'provincia (%)'!K137</f>
        <v>53249.67382</v>
      </c>
      <c r="F133" s="8">
        <f>'proyección hogares'!N423*'provincia (%)'!K137</f>
        <v>55387.53787</v>
      </c>
      <c r="G133" s="8">
        <f>'proyección hogares'!M423*'provincia (%)'!K137</f>
        <v>57501.36888</v>
      </c>
      <c r="H133" s="8">
        <f>'proyección hogares'!L423*'provincia (%)'!K137</f>
        <v>59608.38456</v>
      </c>
      <c r="I133" s="8">
        <f>'proyección hogares'!K423*'provincia (%)'!K137</f>
        <v>61604.92001</v>
      </c>
      <c r="J133" s="8">
        <f>'proyección hogares'!J423*'provincia (%)'!K137</f>
        <v>63540.83482</v>
      </c>
      <c r="K133" s="8">
        <f>'proyección hogares'!I423*'provincia (%)'!K137</f>
        <v>65420.79212</v>
      </c>
      <c r="L133" s="8">
        <f>'proyección hogares'!H423*'provincia (%)'!K137</f>
        <v>67273.84676</v>
      </c>
      <c r="M133" s="8">
        <f>'proyección hogares'!G423*'provincia (%)'!K137</f>
        <v>69071.6613</v>
      </c>
      <c r="N133" s="8">
        <f>'proyección hogares'!F423*'provincia (%)'!K137</f>
        <v>70860.86698</v>
      </c>
      <c r="O133" s="8">
        <f>'proyección hogares'!E423*'provincia (%)'!K137</f>
        <v>72632.85497</v>
      </c>
      <c r="P133" s="8">
        <f>'proyección hogares'!D423*'provincia (%)'!K137</f>
        <v>74373.27718</v>
      </c>
      <c r="Q133" s="8">
        <f>'proyección hogares'!C423*'provincia (%)'!K137</f>
        <v>76112.26458</v>
      </c>
      <c r="R133" s="8">
        <f>'proyección hogares'!B423*'provincia (%)'!K137</f>
        <v>77825.78413</v>
      </c>
    </row>
    <row r="134" ht="15.0" customHeight="1">
      <c r="A134" s="9"/>
      <c r="B134" s="10" t="s">
        <v>22</v>
      </c>
      <c r="C134" s="11">
        <f>'proyección hogares'!Q423*'provincia (%)'!K138</f>
        <v>23273.9319</v>
      </c>
      <c r="D134" s="11">
        <f>'proyección hogares'!P423*'provincia (%)'!K138</f>
        <v>24278.09728</v>
      </c>
      <c r="E134" s="11">
        <f>'proyección hogares'!O423*'provincia (%)'!K138</f>
        <v>25304.5926</v>
      </c>
      <c r="F134" s="11">
        <f>'proyección hogares'!N423*'provincia (%)'!K138</f>
        <v>26320.51955</v>
      </c>
      <c r="G134" s="11">
        <f>'proyección hogares'!M423*'provincia (%)'!K138</f>
        <v>27325.02584</v>
      </c>
      <c r="H134" s="11">
        <f>'proyección hogares'!L423*'provincia (%)'!K138</f>
        <v>28326.29345</v>
      </c>
      <c r="I134" s="11">
        <f>'proyección hogares'!K423*'provincia (%)'!K138</f>
        <v>29275.06013</v>
      </c>
      <c r="J134" s="11">
        <f>'proyección hogares'!J423*'provincia (%)'!K138</f>
        <v>30195.01948</v>
      </c>
      <c r="K134" s="11">
        <f>'proyección hogares'!I423*'provincia (%)'!K138</f>
        <v>31088.38746</v>
      </c>
      <c r="L134" s="11">
        <f>'proyección hogares'!H423*'provincia (%)'!K138</f>
        <v>31968.97112</v>
      </c>
      <c r="M134" s="11">
        <f>'proyección hogares'!G423*'provincia (%)'!K138</f>
        <v>32823.30432</v>
      </c>
      <c r="N134" s="11">
        <f>'proyección hogares'!F423*'provincia (%)'!K138</f>
        <v>33673.54655</v>
      </c>
      <c r="O134" s="11">
        <f>'proyección hogares'!E423*'provincia (%)'!K138</f>
        <v>34515.6068</v>
      </c>
      <c r="P134" s="11">
        <f>'proyección hogares'!D423*'provincia (%)'!K138</f>
        <v>35342.6668</v>
      </c>
      <c r="Q134" s="11">
        <f>'proyección hogares'!C423*'provincia (%)'!K138</f>
        <v>36169.04496</v>
      </c>
      <c r="R134" s="11">
        <f>'proyección hogares'!B423*'provincia (%)'!K138</f>
        <v>36983.32064</v>
      </c>
    </row>
    <row r="135" ht="15.0" customHeight="1">
      <c r="A135" s="12"/>
      <c r="B135" s="13" t="s">
        <v>23</v>
      </c>
      <c r="C135" s="14">
        <f>'proyección hogares'!Q423*'provincia (%)'!K139</f>
        <v>74051.38298</v>
      </c>
      <c r="D135" s="14">
        <f>'proyección hogares'!P423*'provincia (%)'!K139</f>
        <v>77246.36678</v>
      </c>
      <c r="E135" s="14">
        <f>'proyección hogares'!O423*'provincia (%)'!K139</f>
        <v>80512.39842</v>
      </c>
      <c r="F135" s="14">
        <f>'proyección hogares'!N423*'provincia (%)'!K139</f>
        <v>83744.80436</v>
      </c>
      <c r="G135" s="14">
        <f>'proyección hogares'!M423*'provincia (%)'!K139</f>
        <v>86940.87285</v>
      </c>
      <c r="H135" s="14">
        <f>'proyección hogares'!L423*'provincia (%)'!K139</f>
        <v>90126.6367</v>
      </c>
      <c r="I135" s="14">
        <f>'proyección hogares'!K423*'provincia (%)'!K139</f>
        <v>93145.35674</v>
      </c>
      <c r="J135" s="14">
        <f>'proyección hogares'!J423*'provincia (%)'!K139</f>
        <v>96072.41964</v>
      </c>
      <c r="K135" s="14">
        <f>'proyección hogares'!I423*'provincia (%)'!K139</f>
        <v>98914.87594</v>
      </c>
      <c r="L135" s="14">
        <f>'proyección hogares'!H423*'provincia (%)'!K139</f>
        <v>101716.656</v>
      </c>
      <c r="M135" s="14">
        <f>'proyección hogares'!G423*'provincia (%)'!K139</f>
        <v>104434.9141</v>
      </c>
      <c r="N135" s="14">
        <f>'proyección hogares'!F423*'provincia (%)'!K139</f>
        <v>107140.1559</v>
      </c>
      <c r="O135" s="14">
        <f>'proyección hogares'!E423*'provincia (%)'!K139</f>
        <v>109819.3648</v>
      </c>
      <c r="P135" s="14">
        <f>'proyección hogares'!D423*'provincia (%)'!K139</f>
        <v>112450.847</v>
      </c>
      <c r="Q135" s="14">
        <f>'proyección hogares'!C423*'provincia (%)'!K139</f>
        <v>115080.1598</v>
      </c>
      <c r="R135" s="14">
        <f>'proyección hogares'!B423*'provincia (%)'!K139</f>
        <v>117670.9657</v>
      </c>
    </row>
    <row r="136" ht="15.0" customHeight="1">
      <c r="A136" s="6" t="s">
        <v>66</v>
      </c>
      <c r="B136" s="7" t="s">
        <v>21</v>
      </c>
      <c r="C136" s="8">
        <f>'proyección hogares'!Q437*'provincia (%)'!K141</f>
        <v>26488.05853</v>
      </c>
      <c r="D136" s="8">
        <f>'proyección hogares'!P437*'provincia (%)'!K141</f>
        <v>27258.16693</v>
      </c>
      <c r="E136" s="8">
        <f>'proyección hogares'!O437*'provincia (%)'!K141</f>
        <v>28042.81875</v>
      </c>
      <c r="F136" s="8">
        <f>'proyección hogares'!N437*'provincia (%)'!K141</f>
        <v>28825.73921</v>
      </c>
      <c r="G136" s="8">
        <f>'proyección hogares'!M437*'provincia (%)'!K141</f>
        <v>29592.73116</v>
      </c>
      <c r="H136" s="8">
        <f>'proyección hogares'!L437*'provincia (%)'!K141</f>
        <v>30374.6128</v>
      </c>
      <c r="I136" s="8">
        <f>'proyección hogares'!K437*'provincia (%)'!K141</f>
        <v>31123.9449</v>
      </c>
      <c r="J136" s="8">
        <f>'proyección hogares'!J437*'provincia (%)'!K141</f>
        <v>31843.49762</v>
      </c>
      <c r="K136" s="8">
        <f>'proyección hogares'!I437*'provincia (%)'!K141</f>
        <v>32557.85627</v>
      </c>
      <c r="L136" s="8">
        <f>'proyección hogares'!H437*'provincia (%)'!K141</f>
        <v>33265.98203</v>
      </c>
      <c r="M136" s="8">
        <f>'proyección hogares'!G437*'provincia (%)'!K141</f>
        <v>33943.98214</v>
      </c>
      <c r="N136" s="8">
        <f>'proyección hogares'!F437*'provincia (%)'!K141</f>
        <v>34626.48378</v>
      </c>
      <c r="O136" s="8">
        <f>'proyección hogares'!E437*'provincia (%)'!K141</f>
        <v>35309.3317</v>
      </c>
      <c r="P136" s="8">
        <f>'proyección hogares'!D437*'provincia (%)'!K141</f>
        <v>35986.63927</v>
      </c>
      <c r="Q136" s="8">
        <f>'proyección hogares'!C437*'provincia (%)'!K141</f>
        <v>36655.98259</v>
      </c>
      <c r="R136" s="8">
        <f>'proyección hogares'!B437*'provincia (%)'!K141</f>
        <v>37288.27483</v>
      </c>
    </row>
    <row r="137" ht="15.0" customHeight="1">
      <c r="A137" s="9"/>
      <c r="B137" s="10" t="s">
        <v>22</v>
      </c>
      <c r="C137" s="11">
        <f>'proyección hogares'!Q437*'provincia (%)'!K142</f>
        <v>15871.50878</v>
      </c>
      <c r="D137" s="11">
        <f>'proyección hogares'!P437*'provincia (%)'!K142</f>
        <v>16332.95378</v>
      </c>
      <c r="E137" s="11">
        <f>'proyección hogares'!O437*'provincia (%)'!K142</f>
        <v>16803.11313</v>
      </c>
      <c r="F137" s="11">
        <f>'proyección hogares'!N437*'provincia (%)'!K142</f>
        <v>17272.23505</v>
      </c>
      <c r="G137" s="11">
        <f>'proyección hogares'!M437*'provincia (%)'!K142</f>
        <v>17731.81269</v>
      </c>
      <c r="H137" s="11">
        <f>'proyección hogares'!L437*'provincia (%)'!K142</f>
        <v>18200.31216</v>
      </c>
      <c r="I137" s="11">
        <f>'proyección hogares'!K437*'provincia (%)'!K142</f>
        <v>18649.30811</v>
      </c>
      <c r="J137" s="11">
        <f>'proyección hogares'!J437*'provincia (%)'!K142</f>
        <v>19080.46041</v>
      </c>
      <c r="K137" s="11">
        <f>'proyección hogares'!I437*'provincia (%)'!K142</f>
        <v>19508.50045</v>
      </c>
      <c r="L137" s="11">
        <f>'proyección hogares'!H437*'provincia (%)'!K142</f>
        <v>19932.80577</v>
      </c>
      <c r="M137" s="11">
        <f>'proyección hogares'!G437*'provincia (%)'!K142</f>
        <v>20339.05995</v>
      </c>
      <c r="N137" s="11">
        <f>'proyección hogares'!F437*'provincia (%)'!K142</f>
        <v>20748.01144</v>
      </c>
      <c r="O137" s="11">
        <f>'proyección hogares'!E437*'provincia (%)'!K142</f>
        <v>21157.17041</v>
      </c>
      <c r="P137" s="11">
        <f>'proyección hogares'!D437*'provincia (%)'!K142</f>
        <v>21563.00963</v>
      </c>
      <c r="Q137" s="11">
        <f>'proyección hogares'!C437*'provincia (%)'!K142</f>
        <v>21964.07671</v>
      </c>
      <c r="R137" s="11">
        <f>'proyección hogares'!B437*'provincia (%)'!K142</f>
        <v>22342.94298</v>
      </c>
    </row>
    <row r="138" ht="15.0" customHeight="1">
      <c r="A138" s="12"/>
      <c r="B138" s="13" t="s">
        <v>23</v>
      </c>
      <c r="C138" s="14">
        <f>'proyección hogares'!Q437*'provincia (%)'!K143</f>
        <v>36660.21769</v>
      </c>
      <c r="D138" s="14">
        <f>'proyección hogares'!P437*'provincia (%)'!K143</f>
        <v>37726.06937</v>
      </c>
      <c r="E138" s="14">
        <f>'proyección hogares'!O437*'provincia (%)'!K143</f>
        <v>38812.04954</v>
      </c>
      <c r="F138" s="14">
        <f>'proyección hogares'!N437*'provincia (%)'!K143</f>
        <v>39895.63346</v>
      </c>
      <c r="G138" s="14">
        <f>'proyección hogares'!M437*'provincia (%)'!K143</f>
        <v>40957.17189</v>
      </c>
      <c r="H138" s="14">
        <f>'proyección hogares'!L437*'provincia (%)'!K143</f>
        <v>42039.31807</v>
      </c>
      <c r="I138" s="14">
        <f>'proyección hogares'!K437*'provincia (%)'!K143</f>
        <v>43076.41476</v>
      </c>
      <c r="J138" s="14">
        <f>'proyección hogares'!J437*'provincia (%)'!K143</f>
        <v>44072.29595</v>
      </c>
      <c r="K138" s="14">
        <f>'proyección hogares'!I437*'provincia (%)'!K143</f>
        <v>45060.98841</v>
      </c>
      <c r="L138" s="14">
        <f>'proyección hogares'!H437*'provincia (%)'!K143</f>
        <v>46041.05436</v>
      </c>
      <c r="M138" s="14">
        <f>'proyección hogares'!G437*'provincia (%)'!K143</f>
        <v>46979.42558</v>
      </c>
      <c r="N138" s="14">
        <f>'proyección hogares'!F437*'provincia (%)'!K143</f>
        <v>47924.02704</v>
      </c>
      <c r="O138" s="14">
        <f>'proyección hogares'!E437*'provincia (%)'!K143</f>
        <v>48869.10776</v>
      </c>
      <c r="P138" s="14">
        <f>'proyección hogares'!D437*'provincia (%)'!K143</f>
        <v>49806.52047</v>
      </c>
      <c r="Q138" s="14">
        <f>'proyección hogares'!C437*'provincia (%)'!K143</f>
        <v>50732.91045</v>
      </c>
      <c r="R138" s="14">
        <f>'proyección hogares'!B437*'provincia (%)'!K143</f>
        <v>51608.02068</v>
      </c>
    </row>
    <row r="139" ht="15.0" customHeight="1">
      <c r="A139" s="6" t="s">
        <v>67</v>
      </c>
      <c r="B139" s="7" t="s">
        <v>21</v>
      </c>
      <c r="C139" s="8">
        <f>'proyección hogares'!Q451*'provincia (%)'!K49</f>
        <v>51648.29191</v>
      </c>
      <c r="D139" s="8">
        <f>'proyección hogares'!P451*'provincia (%)'!K49</f>
        <v>53164.56196</v>
      </c>
      <c r="E139" s="8">
        <f>'proyección hogares'!O451*'provincia (%)'!K49</f>
        <v>54684.60895</v>
      </c>
      <c r="F139" s="8">
        <f>'proyección hogares'!N451*'provincia (%)'!K49</f>
        <v>56151.43541</v>
      </c>
      <c r="G139" s="8">
        <f>'proyección hogares'!M451*'provincia (%)'!K49</f>
        <v>57584.95612</v>
      </c>
      <c r="H139" s="8">
        <f>'proyección hogares'!L451*'provincia (%)'!K49</f>
        <v>59029.12094</v>
      </c>
      <c r="I139" s="8">
        <f>'proyección hogares'!K451*'provincia (%)'!K49</f>
        <v>60393.62664</v>
      </c>
      <c r="J139" s="8">
        <f>'proyección hogares'!J451*'provincia (%)'!K49</f>
        <v>61728.94689</v>
      </c>
      <c r="K139" s="8">
        <f>'proyección hogares'!I451*'provincia (%)'!K49</f>
        <v>63010.01653</v>
      </c>
      <c r="L139" s="8">
        <f>'proyección hogares'!H451*'provincia (%)'!K49</f>
        <v>64283.5323</v>
      </c>
      <c r="M139" s="8">
        <f>'proyección hogares'!G451*'provincia (%)'!K49</f>
        <v>65495.24357</v>
      </c>
      <c r="N139" s="8">
        <f>'proyección hogares'!F451*'provincia (%)'!K49</f>
        <v>66686.35336</v>
      </c>
      <c r="O139" s="8">
        <f>'proyección hogares'!E451*'provincia (%)'!K49</f>
        <v>67860.63859</v>
      </c>
      <c r="P139" s="8">
        <f>'proyección hogares'!D451*'provincia (%)'!K49</f>
        <v>69015.35239</v>
      </c>
      <c r="Q139" s="8">
        <f>'proyección hogares'!C451*'provincia (%)'!K49</f>
        <v>70118.2191</v>
      </c>
      <c r="R139" s="8">
        <f>'proyección hogares'!B451*'provincia (%)'!K49</f>
        <v>71160.99812</v>
      </c>
    </row>
    <row r="140" ht="15.0" customHeight="1">
      <c r="A140" s="9"/>
      <c r="B140" s="10" t="s">
        <v>22</v>
      </c>
      <c r="C140" s="11">
        <f>'proyección hogares'!Q451*'provincia (%)'!K50</f>
        <v>22709.38179</v>
      </c>
      <c r="D140" s="11">
        <f>'proyección hogares'!P451*'provincia (%)'!K50</f>
        <v>23376.07481</v>
      </c>
      <c r="E140" s="11">
        <f>'proyección hogares'!O451*'provincia (%)'!K50</f>
        <v>24044.42852</v>
      </c>
      <c r="F140" s="11">
        <f>'proyección hogares'!N451*'provincia (%)'!K50</f>
        <v>24689.38154</v>
      </c>
      <c r="G140" s="11">
        <f>'proyección hogares'!M451*'provincia (%)'!K50</f>
        <v>25319.69027</v>
      </c>
      <c r="H140" s="11">
        <f>'proyección hogares'!L451*'provincia (%)'!K50</f>
        <v>25954.67913</v>
      </c>
      <c r="I140" s="11">
        <f>'proyección hogares'!K451*'provincia (%)'!K50</f>
        <v>26554.64246</v>
      </c>
      <c r="J140" s="11">
        <f>'proyección hogares'!J451*'provincia (%)'!K50</f>
        <v>27141.77315</v>
      </c>
      <c r="K140" s="11">
        <f>'proyección hogares'!I451*'provincia (%)'!K50</f>
        <v>27705.05024</v>
      </c>
      <c r="L140" s="11">
        <f>'proyección hogares'!H451*'provincia (%)'!K50</f>
        <v>28265.00595</v>
      </c>
      <c r="M140" s="11">
        <f>'proyección hogares'!G451*'provincia (%)'!K50</f>
        <v>28797.78666</v>
      </c>
      <c r="N140" s="11">
        <f>'proyección hogares'!F451*'provincia (%)'!K50</f>
        <v>29321.50905</v>
      </c>
      <c r="O140" s="11">
        <f>'proyección hogares'!E451*'provincia (%)'!K50</f>
        <v>29837.83381</v>
      </c>
      <c r="P140" s="11">
        <f>'proyección hogares'!D451*'provincia (%)'!K50</f>
        <v>30345.55315</v>
      </c>
      <c r="Q140" s="11">
        <f>'proyección hogares'!C451*'provincia (%)'!K50</f>
        <v>30830.47569</v>
      </c>
      <c r="R140" s="11">
        <f>'proyección hogares'!B451*'provincia (%)'!K50</f>
        <v>31288.97811</v>
      </c>
    </row>
    <row r="141" ht="15.0" customHeight="1">
      <c r="A141" s="12"/>
      <c r="B141" s="13" t="s">
        <v>23</v>
      </c>
      <c r="C141" s="14">
        <f>'proyección hogares'!Q451*'provincia (%)'!K51</f>
        <v>72876.62954</v>
      </c>
      <c r="D141" s="14">
        <f>'proyección hogares'!P451*'provincia (%)'!K51</f>
        <v>75016.1127</v>
      </c>
      <c r="E141" s="14">
        <f>'proyección hogares'!O451*'provincia (%)'!K51</f>
        <v>77160.92519</v>
      </c>
      <c r="F141" s="14">
        <f>'proyección hogares'!N451*'provincia (%)'!K51</f>
        <v>79230.64259</v>
      </c>
      <c r="G141" s="14">
        <f>'proyección hogares'!M451*'provincia (%)'!K51</f>
        <v>81253.365</v>
      </c>
      <c r="H141" s="14">
        <f>'proyección hogares'!L451*'provincia (%)'!K51</f>
        <v>83291.10643</v>
      </c>
      <c r="I141" s="14">
        <f>'proyección hogares'!K451*'provincia (%)'!K51</f>
        <v>85216.44748</v>
      </c>
      <c r="J141" s="14">
        <f>'proyección hogares'!J451*'provincia (%)'!K51</f>
        <v>87100.60736</v>
      </c>
      <c r="K141" s="14">
        <f>'proyección hogares'!I451*'provincia (%)'!K51</f>
        <v>88908.21869</v>
      </c>
      <c r="L141" s="14">
        <f>'proyección hogares'!H451*'provincia (%)'!K51</f>
        <v>90705.17137</v>
      </c>
      <c r="M141" s="14">
        <f>'proyección hogares'!G451*'provincia (%)'!K51</f>
        <v>92414.91686</v>
      </c>
      <c r="N141" s="14">
        <f>'proyección hogares'!F451*'provincia (%)'!K51</f>
        <v>94095.59328</v>
      </c>
      <c r="O141" s="14">
        <f>'proyección hogares'!E451*'provincia (%)'!K51</f>
        <v>95752.52996</v>
      </c>
      <c r="P141" s="14">
        <f>'proyección hogares'!D451*'provincia (%)'!K51</f>
        <v>97381.85104</v>
      </c>
      <c r="Q141" s="14">
        <f>'proyección hogares'!C451*'provincia (%)'!K51</f>
        <v>98938.01496</v>
      </c>
      <c r="R141" s="14">
        <f>'proyección hogares'!B451*'provincia (%)'!K51</f>
        <v>100409.3941</v>
      </c>
    </row>
    <row r="142" ht="15.0" customHeight="1">
      <c r="A142" s="6" t="s">
        <v>68</v>
      </c>
      <c r="B142" s="7" t="s">
        <v>21</v>
      </c>
      <c r="C142" s="8">
        <f>'proyección hogares'!Q458*'provincia (%)'!K25</f>
        <v>14377.06954</v>
      </c>
      <c r="D142" s="8">
        <f>'proyección hogares'!P458*'provincia (%)'!K25</f>
        <v>14753.84749</v>
      </c>
      <c r="E142" s="8">
        <f>'proyección hogares'!O458*'provincia (%)'!K25</f>
        <v>15130.00878</v>
      </c>
      <c r="F142" s="8">
        <f>'proyección hogares'!N458*'provincia (%)'!K25</f>
        <v>15490.75363</v>
      </c>
      <c r="G142" s="8">
        <f>'proyección hogares'!M458*'provincia (%)'!K25</f>
        <v>15839.78197</v>
      </c>
      <c r="H142" s="8">
        <f>'proyección hogares'!L458*'provincia (%)'!K25</f>
        <v>16196.51854</v>
      </c>
      <c r="I142" s="8">
        <f>'proyección hogares'!K458*'provincia (%)'!K25</f>
        <v>16540.30529</v>
      </c>
      <c r="J142" s="8">
        <f>'proyección hogares'!J458*'provincia (%)'!K25</f>
        <v>16862.50902</v>
      </c>
      <c r="K142" s="8">
        <f>'proyección hogares'!I458*'provincia (%)'!K25</f>
        <v>17178.54617</v>
      </c>
      <c r="L142" s="8">
        <f>'proyección hogares'!H458*'provincia (%)'!K25</f>
        <v>17489.34173</v>
      </c>
      <c r="M142" s="8">
        <f>'proyección hogares'!G458*'provincia (%)'!K25</f>
        <v>17783.79586</v>
      </c>
      <c r="N142" s="8">
        <f>'proyección hogares'!F458*'provincia (%)'!K25</f>
        <v>18076.70834</v>
      </c>
      <c r="O142" s="8">
        <f>'proyección hogares'!E458*'provincia (%)'!K25</f>
        <v>18366.2292</v>
      </c>
      <c r="P142" s="8">
        <f>'proyección hogares'!D458*'provincia (%)'!K25</f>
        <v>18649.27516</v>
      </c>
      <c r="Q142" s="8">
        <f>'proyección hogares'!C458*'provincia (%)'!K25</f>
        <v>18922.14626</v>
      </c>
      <c r="R142" s="8">
        <f>'proyección hogares'!B458*'provincia (%)'!K25</f>
        <v>19178.36759</v>
      </c>
    </row>
    <row r="143" ht="15.0" customHeight="1">
      <c r="A143" s="9"/>
      <c r="B143" s="10" t="s">
        <v>22</v>
      </c>
      <c r="C143" s="11">
        <f>'proyección hogares'!Q458*'provincia (%)'!K26</f>
        <v>8545.414753</v>
      </c>
      <c r="D143" s="11">
        <f>'proyección hogares'!P458*'provincia (%)'!K26</f>
        <v>8769.3633</v>
      </c>
      <c r="E143" s="11">
        <f>'proyección hogares'!O458*'provincia (%)'!K26</f>
        <v>8992.94532</v>
      </c>
      <c r="F143" s="11">
        <f>'proyección hogares'!N458*'provincia (%)'!K26</f>
        <v>9207.364142</v>
      </c>
      <c r="G143" s="11">
        <f>'proyección hogares'!M458*'provincia (%)'!K26</f>
        <v>9414.818934</v>
      </c>
      <c r="H143" s="11">
        <f>'proyección hogares'!L458*'provincia (%)'!K26</f>
        <v>9626.855325</v>
      </c>
      <c r="I143" s="11">
        <f>'proyección hogares'!K458*'provincia (%)'!K26</f>
        <v>9831.19463</v>
      </c>
      <c r="J143" s="11">
        <f>'proyección hogares'!J458*'provincia (%)'!K26</f>
        <v>10022.70546</v>
      </c>
      <c r="K143" s="11">
        <f>'proyección hogares'!I458*'provincia (%)'!K26</f>
        <v>10210.55101</v>
      </c>
      <c r="L143" s="11">
        <f>'proyección hogares'!H458*'provincia (%)'!K26</f>
        <v>10395.28107</v>
      </c>
      <c r="M143" s="11">
        <f>'proyección hogares'!G458*'provincia (%)'!K26</f>
        <v>10570.29814</v>
      </c>
      <c r="N143" s="11">
        <f>'proyección hogares'!F458*'provincia (%)'!K26</f>
        <v>10744.3989</v>
      </c>
      <c r="O143" s="11">
        <f>'proyección hogares'!E458*'provincia (%)'!K26</f>
        <v>10916.48375</v>
      </c>
      <c r="P143" s="11">
        <f>'proyección hogares'!D458*'provincia (%)'!K26</f>
        <v>11084.72005</v>
      </c>
      <c r="Q143" s="11">
        <f>'proyección hogares'!C458*'provincia (%)'!K26</f>
        <v>11246.90865</v>
      </c>
      <c r="R143" s="11">
        <f>'proyección hogares'!B458*'provincia (%)'!K26</f>
        <v>11399.20099</v>
      </c>
    </row>
    <row r="144" ht="15.0" customHeight="1">
      <c r="A144" s="12"/>
      <c r="B144" s="13" t="s">
        <v>23</v>
      </c>
      <c r="C144" s="14">
        <f>'proyección hogares'!Q458*'provincia (%)'!K27</f>
        <v>20013.36917</v>
      </c>
      <c r="D144" s="14">
        <f>'proyección hogares'!P458*'provincia (%)'!K27</f>
        <v>20537.85687</v>
      </c>
      <c r="E144" s="14">
        <f>'proyección hogares'!O458*'provincia (%)'!K27</f>
        <v>21061.48617</v>
      </c>
      <c r="F144" s="14">
        <f>'proyección hogares'!N458*'provincia (%)'!K27</f>
        <v>21563.65524</v>
      </c>
      <c r="G144" s="14">
        <f>'proyección hogares'!M458*'provincia (%)'!K27</f>
        <v>22049.51456</v>
      </c>
      <c r="H144" s="14">
        <f>'proyección hogares'!L458*'provincia (%)'!K27</f>
        <v>22546.10398</v>
      </c>
      <c r="I144" s="14">
        <f>'proyección hogares'!K458*'provincia (%)'!K27</f>
        <v>23024.66682</v>
      </c>
      <c r="J144" s="14">
        <f>'proyección hogares'!J458*'provincia (%)'!K27</f>
        <v>23473.18535</v>
      </c>
      <c r="K144" s="14">
        <f>'proyección hogares'!I458*'provincia (%)'!K27</f>
        <v>23913.1198</v>
      </c>
      <c r="L144" s="14">
        <f>'proyección hogares'!H458*'provincia (%)'!K27</f>
        <v>24345.75778</v>
      </c>
      <c r="M144" s="14">
        <f>'proyección hogares'!G458*'provincia (%)'!K27</f>
        <v>24755.64792</v>
      </c>
      <c r="N144" s="14">
        <f>'proyección hogares'!F458*'provincia (%)'!K27</f>
        <v>25163.39204</v>
      </c>
      <c r="O144" s="14">
        <f>'proyección hogares'!E458*'provincia (%)'!K27</f>
        <v>25566.41492</v>
      </c>
      <c r="P144" s="14">
        <f>'proyección hogares'!D458*'provincia (%)'!K27</f>
        <v>25960.4245</v>
      </c>
      <c r="Q144" s="14">
        <f>'proyección hogares'!C458*'provincia (%)'!K27</f>
        <v>26340.27034</v>
      </c>
      <c r="R144" s="14">
        <f>'proyección hogares'!B458*'provincia (%)'!K27</f>
        <v>26696.93915</v>
      </c>
    </row>
    <row r="145" ht="15.0" customHeight="1">
      <c r="A145" s="6" t="s">
        <v>69</v>
      </c>
      <c r="B145" s="7" t="s">
        <v>21</v>
      </c>
      <c r="C145" s="8">
        <f>'proyección hogares'!Q465*'provincia (%)'!K89</f>
        <v>37307.5454</v>
      </c>
      <c r="D145" s="8">
        <f>'proyección hogares'!P465*'provincia (%)'!K89</f>
        <v>38186.00447</v>
      </c>
      <c r="E145" s="8">
        <f>'proyección hogares'!O465*'provincia (%)'!K89</f>
        <v>39070.05627</v>
      </c>
      <c r="F145" s="8">
        <f>'proyección hogares'!N465*'provincia (%)'!K89</f>
        <v>39935.33246</v>
      </c>
      <c r="G145" s="8">
        <f>'proyección hogares'!M465*'provincia (%)'!K89</f>
        <v>40785.42837</v>
      </c>
      <c r="H145" s="8">
        <f>'proyección hogares'!L465*'provincia (%)'!K89</f>
        <v>41629.13257</v>
      </c>
      <c r="I145" s="8">
        <f>'proyección hogares'!K465*'provincia (%)'!K89</f>
        <v>42435.28555</v>
      </c>
      <c r="J145" s="8">
        <f>'proyección hogares'!J465*'provincia (%)'!K89</f>
        <v>43204.68626</v>
      </c>
      <c r="K145" s="8">
        <f>'proyección hogares'!I465*'provincia (%)'!K89</f>
        <v>43960.10513</v>
      </c>
      <c r="L145" s="8">
        <f>'proyección hogares'!H465*'provincia (%)'!K89</f>
        <v>44707.1349</v>
      </c>
      <c r="M145" s="8">
        <f>'proyección hogares'!G465*'provincia (%)'!K89</f>
        <v>45409.02329</v>
      </c>
      <c r="N145" s="8">
        <f>'proyección hogares'!F465*'provincia (%)'!K89</f>
        <v>46110.91169</v>
      </c>
      <c r="O145" s="8">
        <f>'proyección hogares'!E465*'provincia (%)'!K89</f>
        <v>46793.22551</v>
      </c>
      <c r="P145" s="8">
        <f>'proyección hogares'!D465*'provincia (%)'!K89</f>
        <v>47465.5523</v>
      </c>
      <c r="Q145" s="8">
        <f>'proyección hogares'!C465*'provincia (%)'!K89</f>
        <v>48098.72994</v>
      </c>
      <c r="R145" s="8">
        <f>'proyección hogares'!B465*'provincia (%)'!K89</f>
        <v>48694.75582</v>
      </c>
    </row>
    <row r="146" ht="15.0" customHeight="1">
      <c r="A146" s="9"/>
      <c r="B146" s="10" t="s">
        <v>22</v>
      </c>
      <c r="C146" s="11">
        <f>'proyección hogares'!Q465*'provincia (%)'!K90</f>
        <v>19679.95444</v>
      </c>
      <c r="D146" s="11">
        <f>'proyección hogares'!P465*'provincia (%)'!K90</f>
        <v>20143.34687</v>
      </c>
      <c r="E146" s="11">
        <f>'proyección hogares'!O465*'provincia (%)'!K90</f>
        <v>20609.68951</v>
      </c>
      <c r="F146" s="11">
        <f>'proyección hogares'!N465*'provincia (%)'!K90</f>
        <v>21066.1279</v>
      </c>
      <c r="G146" s="11">
        <f>'proyección hogares'!M465*'provincia (%)'!K90</f>
        <v>21514.5586</v>
      </c>
      <c r="H146" s="11">
        <f>'proyección hogares'!L465*'provincia (%)'!K90</f>
        <v>21959.61764</v>
      </c>
      <c r="I146" s="11">
        <f>'proyección hogares'!K465*'provincia (%)'!K90</f>
        <v>22384.86819</v>
      </c>
      <c r="J146" s="11">
        <f>'proyección hogares'!J465*'provincia (%)'!K90</f>
        <v>22790.73169</v>
      </c>
      <c r="K146" s="11">
        <f>'proyección hogares'!I465*'provincia (%)'!K90</f>
        <v>23189.21968</v>
      </c>
      <c r="L146" s="11">
        <f>'proyección hogares'!H465*'provincia (%)'!K90</f>
        <v>23583.28237</v>
      </c>
      <c r="M146" s="11">
        <f>'proyección hogares'!G465*'provincia (%)'!K90</f>
        <v>23953.53272</v>
      </c>
      <c r="N146" s="11">
        <f>'proyección hogares'!F465*'provincia (%)'!K90</f>
        <v>24323.78307</v>
      </c>
      <c r="O146" s="11">
        <f>'proyección hogares'!E465*'provincia (%)'!K90</f>
        <v>24683.70771</v>
      </c>
      <c r="P146" s="11">
        <f>'proyección hogares'!D465*'provincia (%)'!K90</f>
        <v>25038.36413</v>
      </c>
      <c r="Q146" s="11">
        <f>'proyección hogares'!C465*'provincia (%)'!K90</f>
        <v>25372.36914</v>
      </c>
      <c r="R146" s="11">
        <f>'proyección hogares'!B465*'provincia (%)'!K90</f>
        <v>25686.77638</v>
      </c>
    </row>
    <row r="147" ht="15.0" customHeight="1">
      <c r="A147" s="12"/>
      <c r="B147" s="13" t="s">
        <v>23</v>
      </c>
      <c r="C147" s="14">
        <f>'proyección hogares'!Q465*'provincia (%)'!K91</f>
        <v>49748.91712</v>
      </c>
      <c r="D147" s="14">
        <f>'proyección hogares'!P465*'provincia (%)'!K91</f>
        <v>50920.32593</v>
      </c>
      <c r="E147" s="14">
        <f>'proyección hogares'!O465*'provincia (%)'!K91</f>
        <v>52099.19255</v>
      </c>
      <c r="F147" s="14">
        <f>'proyección hogares'!N465*'provincia (%)'!K91</f>
        <v>53253.02224</v>
      </c>
      <c r="G147" s="14">
        <f>'proyección hogares'!M465*'provincia (%)'!K91</f>
        <v>54386.6093</v>
      </c>
      <c r="H147" s="14">
        <f>'proyección hogares'!L465*'provincia (%)'!K91</f>
        <v>55511.67315</v>
      </c>
      <c r="I147" s="14">
        <f>'proyección hogares'!K465*'provincia (%)'!K91</f>
        <v>56586.66314</v>
      </c>
      <c r="J147" s="14">
        <f>'proyección hogares'!J465*'provincia (%)'!K91</f>
        <v>57612.64466</v>
      </c>
      <c r="K147" s="14">
        <f>'proyección hogares'!I465*'provincia (%)'!K91</f>
        <v>58619.98166</v>
      </c>
      <c r="L147" s="14">
        <f>'proyección hogares'!H465*'provincia (%)'!K91</f>
        <v>59616.13194</v>
      </c>
      <c r="M147" s="14">
        <f>'proyección hogares'!G465*'provincia (%)'!K91</f>
        <v>60552.08705</v>
      </c>
      <c r="N147" s="14">
        <f>'proyección hogares'!F465*'provincia (%)'!K91</f>
        <v>61488.04216</v>
      </c>
      <c r="O147" s="14">
        <f>'proyección hogares'!E465*'provincia (%)'!K91</f>
        <v>62397.89493</v>
      </c>
      <c r="P147" s="14">
        <f>'proyección hogares'!D465*'provincia (%)'!K91</f>
        <v>63294.43018</v>
      </c>
      <c r="Q147" s="14">
        <f>'proyección hogares'!C465*'provincia (%)'!K91</f>
        <v>64138.76077</v>
      </c>
      <c r="R147" s="14">
        <f>'proyección hogares'!B465*'provincia (%)'!K91</f>
        <v>64933.5502</v>
      </c>
    </row>
    <row r="148" ht="15.0" customHeight="1">
      <c r="A148" s="6" t="s">
        <v>70</v>
      </c>
      <c r="B148" s="7" t="s">
        <v>21</v>
      </c>
      <c r="C148" s="8">
        <f>'proyección hogares'!Q493*'provincia (%)'!K213</f>
        <v>1783.723238</v>
      </c>
      <c r="D148" s="8">
        <f>'proyección hogares'!P493*'provincia (%)'!K213</f>
        <v>1836.167102</v>
      </c>
      <c r="E148" s="8">
        <f>'proyección hogares'!O493*'provincia (%)'!K213</f>
        <v>1881.976501</v>
      </c>
      <c r="F148" s="8">
        <f>'proyección hogares'!N493*'provincia (%)'!K213</f>
        <v>1927.154047</v>
      </c>
      <c r="G148" s="8">
        <f>'proyección hogares'!M493*'provincia (%)'!K213</f>
        <v>1974.859008</v>
      </c>
      <c r="H148" s="8">
        <f>'proyección hogares'!L493*'provincia (%)'!K213</f>
        <v>2019.4047</v>
      </c>
      <c r="I148" s="8">
        <f>'proyección hogares'!K493*'provincia (%)'!K213</f>
        <v>2064.898172</v>
      </c>
      <c r="J148" s="8">
        <f>'proyección hogares'!J493*'provincia (%)'!K213</f>
        <v>2109.759791</v>
      </c>
      <c r="K148" s="8">
        <f>'proyección hogares'!I493*'provincia (%)'!K213</f>
        <v>2151.778068</v>
      </c>
      <c r="L148" s="8">
        <f>'proyección hogares'!H493*'provincia (%)'!K213</f>
        <v>2194.428198</v>
      </c>
      <c r="M148" s="8">
        <f>'proyección hogares'!G493*'provincia (%)'!K213</f>
        <v>2234.234987</v>
      </c>
      <c r="N148" s="8">
        <f>'proyección hogares'!F493*'provincia (%)'!K213</f>
        <v>2275.62141</v>
      </c>
      <c r="O148" s="8">
        <f>'proyección hogares'!E493*'provincia (%)'!K213</f>
        <v>2316.375979</v>
      </c>
      <c r="P148" s="8">
        <f>'proyección hogares'!D493*'provincia (%)'!K213</f>
        <v>2352.391645</v>
      </c>
      <c r="Q148" s="8">
        <f>'proyección hogares'!C493*'provincia (%)'!K213</f>
        <v>2388.091384</v>
      </c>
      <c r="R148" s="8">
        <f>'proyección hogares'!B493*'provincia (%)'!K213</f>
        <v>2420.631854</v>
      </c>
    </row>
    <row r="149" ht="15.0" customHeight="1">
      <c r="A149" s="9"/>
      <c r="B149" s="10" t="s">
        <v>22</v>
      </c>
      <c r="C149" s="11">
        <f>'proyección hogares'!Q493*'provincia (%)'!K214</f>
        <v>874.9946043</v>
      </c>
      <c r="D149" s="11">
        <f>'proyección hogares'!P493*'provincia (%)'!K214</f>
        <v>900.7206235</v>
      </c>
      <c r="E149" s="11">
        <f>'proyección hogares'!O493*'provincia (%)'!K214</f>
        <v>923.1921463</v>
      </c>
      <c r="F149" s="11">
        <f>'proyección hogares'!N493*'provincia (%)'!K214</f>
        <v>945.353717</v>
      </c>
      <c r="G149" s="11">
        <f>'proyección hogares'!M493*'provincia (%)'!K214</f>
        <v>968.7550959</v>
      </c>
      <c r="H149" s="11">
        <f>'proyección hogares'!L493*'provincia (%)'!K214</f>
        <v>990.6067146</v>
      </c>
      <c r="I149" s="11">
        <f>'proyección hogares'!K493*'provincia (%)'!K214</f>
        <v>1012.923261</v>
      </c>
      <c r="J149" s="11">
        <f>'proyección hogares'!J493*'provincia (%)'!K214</f>
        <v>1034.929856</v>
      </c>
      <c r="K149" s="11">
        <f>'proyección hogares'!I493*'provincia (%)'!K214</f>
        <v>1055.541667</v>
      </c>
      <c r="L149" s="11">
        <f>'proyección hogares'!H493*'provincia (%)'!K214</f>
        <v>1076.463429</v>
      </c>
      <c r="M149" s="11">
        <f>'proyección hogares'!G493*'provincia (%)'!K214</f>
        <v>1095.990408</v>
      </c>
      <c r="N149" s="11">
        <f>'proyección hogares'!F493*'provincia (%)'!K214</f>
        <v>1116.292266</v>
      </c>
      <c r="O149" s="11">
        <f>'proyección hogares'!E493*'provincia (%)'!K214</f>
        <v>1136.284173</v>
      </c>
      <c r="P149" s="11">
        <f>'proyección hogares'!D493*'provincia (%)'!K214</f>
        <v>1153.951439</v>
      </c>
      <c r="Q149" s="11">
        <f>'proyección hogares'!C493*'provincia (%)'!K214</f>
        <v>1171.463729</v>
      </c>
      <c r="R149" s="11">
        <f>'proyección hogares'!B493*'provincia (%)'!K214</f>
        <v>1187.426259</v>
      </c>
    </row>
    <row r="150" ht="15.0" customHeight="1">
      <c r="A150" s="12"/>
      <c r="B150" s="13" t="s">
        <v>23</v>
      </c>
      <c r="C150" s="14">
        <f>'proyección hogares'!Q493*'provincia (%)'!K215</f>
        <v>3039.793275</v>
      </c>
      <c r="D150" s="14">
        <f>'proyección hogares'!P493*'provincia (%)'!K215</f>
        <v>3129.167289</v>
      </c>
      <c r="E150" s="14">
        <f>'proyección hogares'!O493*'provincia (%)'!K215</f>
        <v>3207.234952</v>
      </c>
      <c r="F150" s="14">
        <f>'proyección hogares'!N493*'provincia (%)'!K215</f>
        <v>3284.22582</v>
      </c>
      <c r="G150" s="14">
        <f>'proyección hogares'!M493*'provincia (%)'!K215</f>
        <v>3365.523869</v>
      </c>
      <c r="H150" s="14">
        <f>'proyección hogares'!L493*'provincia (%)'!K215</f>
        <v>3441.437941</v>
      </c>
      <c r="I150" s="14">
        <f>'proyección hogares'!K493*'provincia (%)'!K215</f>
        <v>3518.967206</v>
      </c>
      <c r="J150" s="14">
        <f>'proyección hogares'!J493*'provincia (%)'!K215</f>
        <v>3595.419676</v>
      </c>
      <c r="K150" s="14">
        <f>'proyección hogares'!I493*'provincia (%)'!K215</f>
        <v>3667.026567</v>
      </c>
      <c r="L150" s="14">
        <f>'proyección hogares'!H493*'provincia (%)'!K215</f>
        <v>3739.710253</v>
      </c>
      <c r="M150" s="14">
        <f>'proyección hogares'!G493*'provincia (%)'!K215</f>
        <v>3807.54836</v>
      </c>
      <c r="N150" s="14">
        <f>'proyección hogares'!F493*'provincia (%)'!K215</f>
        <v>3878.078456</v>
      </c>
      <c r="O150" s="14">
        <f>'proyección hogares'!E493*'provincia (%)'!K215</f>
        <v>3947.531756</v>
      </c>
      <c r="P150" s="14">
        <f>'proyección hogares'!D493*'provincia (%)'!K215</f>
        <v>4008.909091</v>
      </c>
      <c r="Q150" s="14">
        <f>'proyección hogares'!C493*'provincia (%)'!K215</f>
        <v>4069.748028</v>
      </c>
      <c r="R150" s="14">
        <f>'proyección hogares'!B493*'provincia (%)'!K215</f>
        <v>4125.202989</v>
      </c>
    </row>
    <row r="151" ht="15.0" customHeight="1">
      <c r="A151" s="6" t="s">
        <v>70</v>
      </c>
      <c r="B151" s="7" t="s">
        <v>21</v>
      </c>
      <c r="C151" s="8">
        <f>'proyección hogares'!Q493*'provincia (%)'!K213</f>
        <v>1783.723238</v>
      </c>
      <c r="D151" s="8">
        <f>'proyección hogares'!P493*'provincia (%)'!K213</f>
        <v>1836.167102</v>
      </c>
      <c r="E151" s="8">
        <f>'proyección hogares'!O493*'provincia (%)'!K213</f>
        <v>1881.976501</v>
      </c>
      <c r="F151" s="8">
        <f>'proyección hogares'!N493*'provincia (%)'!K213</f>
        <v>1927.154047</v>
      </c>
      <c r="G151" s="8">
        <f>'proyección hogares'!M493*'provincia (%)'!K213</f>
        <v>1974.859008</v>
      </c>
      <c r="H151" s="8">
        <f>'proyección hogares'!L493*'provincia (%)'!K213</f>
        <v>2019.4047</v>
      </c>
      <c r="I151" s="8">
        <f>'proyección hogares'!K493*'provincia (%)'!K213</f>
        <v>2064.898172</v>
      </c>
      <c r="J151" s="8">
        <f>'proyección hogares'!J493*'provincia (%)'!K213</f>
        <v>2109.759791</v>
      </c>
      <c r="K151" s="8">
        <f>'proyección hogares'!I493*'provincia (%)'!K213</f>
        <v>2151.778068</v>
      </c>
      <c r="L151" s="8">
        <f>'proyección hogares'!H493*'provincia (%)'!K213</f>
        <v>2194.428198</v>
      </c>
      <c r="M151" s="8">
        <f>'proyección hogares'!G493*'provincia (%)'!K213</f>
        <v>2234.234987</v>
      </c>
      <c r="N151" s="8">
        <f>'proyección hogares'!F493*'provincia (%)'!K213</f>
        <v>2275.62141</v>
      </c>
      <c r="O151" s="8">
        <f>'proyección hogares'!E493*'provincia (%)'!K213</f>
        <v>2316.375979</v>
      </c>
      <c r="P151" s="8">
        <f>'proyección hogares'!D493*'provincia (%)'!K213</f>
        <v>2352.391645</v>
      </c>
      <c r="Q151" s="8">
        <f>'proyección hogares'!C493*'provincia (%)'!K213</f>
        <v>2388.091384</v>
      </c>
      <c r="R151" s="8">
        <f>'proyección hogares'!B493*'provincia (%)'!K213</f>
        <v>2420.631854</v>
      </c>
    </row>
    <row r="152" ht="15.0" customHeight="1">
      <c r="A152" s="9"/>
      <c r="B152" s="10" t="s">
        <v>22</v>
      </c>
      <c r="C152" s="11">
        <f>'proyección hogares'!Q493*'provincia (%)'!K214</f>
        <v>874.9946043</v>
      </c>
      <c r="D152" s="11">
        <f>'proyección hogares'!P493*'provincia (%)'!K214</f>
        <v>900.7206235</v>
      </c>
      <c r="E152" s="11">
        <f>'proyección hogares'!O493*'provincia (%)'!K214</f>
        <v>923.1921463</v>
      </c>
      <c r="F152" s="11">
        <f>'proyección hogares'!N493*'provincia (%)'!K214</f>
        <v>945.353717</v>
      </c>
      <c r="G152" s="11">
        <f>'proyección hogares'!M493*'provincia (%)'!K214</f>
        <v>968.7550959</v>
      </c>
      <c r="H152" s="11">
        <f>'proyección hogares'!L493*'provincia (%)'!K214</f>
        <v>990.6067146</v>
      </c>
      <c r="I152" s="11">
        <f>'proyección hogares'!K493*'provincia (%)'!K214</f>
        <v>1012.923261</v>
      </c>
      <c r="J152" s="11">
        <f>'proyección hogares'!J493*'provincia (%)'!K214</f>
        <v>1034.929856</v>
      </c>
      <c r="K152" s="11">
        <f>'proyección hogares'!I493*'provincia (%)'!K214</f>
        <v>1055.541667</v>
      </c>
      <c r="L152" s="11">
        <f>'proyección hogares'!H493*'provincia (%)'!K214</f>
        <v>1076.463429</v>
      </c>
      <c r="M152" s="11">
        <f>'proyección hogares'!G493*'provincia (%)'!K214</f>
        <v>1095.990408</v>
      </c>
      <c r="N152" s="11">
        <f>'proyección hogares'!F493*'provincia (%)'!K214</f>
        <v>1116.292266</v>
      </c>
      <c r="O152" s="11">
        <f>'proyección hogares'!E493*'provincia (%)'!K214</f>
        <v>1136.284173</v>
      </c>
      <c r="P152" s="11">
        <f>'proyección hogares'!D493*'provincia (%)'!K214</f>
        <v>1153.951439</v>
      </c>
      <c r="Q152" s="11">
        <f>'proyección hogares'!C493*'provincia (%)'!K214</f>
        <v>1171.463729</v>
      </c>
      <c r="R152" s="11">
        <f>'proyección hogares'!B493*'provincia (%)'!K214</f>
        <v>1187.426259</v>
      </c>
    </row>
    <row r="153" ht="15.0" customHeight="1">
      <c r="A153" s="12"/>
      <c r="B153" s="13" t="s">
        <v>23</v>
      </c>
      <c r="C153" s="14">
        <f>'proyección hogares'!Q493*'provincia (%)'!K215</f>
        <v>3039.793275</v>
      </c>
      <c r="D153" s="14">
        <f>'proyección hogares'!P493*'provincia (%)'!K215</f>
        <v>3129.167289</v>
      </c>
      <c r="E153" s="14">
        <f>'proyección hogares'!O493*'provincia (%)'!K215</f>
        <v>3207.234952</v>
      </c>
      <c r="F153" s="14">
        <f>'proyección hogares'!N493*'provincia (%)'!K215</f>
        <v>3284.22582</v>
      </c>
      <c r="G153" s="14">
        <f>'proyección hogares'!M493*'provincia (%)'!K215</f>
        <v>3365.523869</v>
      </c>
      <c r="H153" s="14">
        <f>'proyección hogares'!L493*'provincia (%)'!K215</f>
        <v>3441.437941</v>
      </c>
      <c r="I153" s="14">
        <f>'proyección hogares'!K493*'provincia (%)'!K215</f>
        <v>3518.967206</v>
      </c>
      <c r="J153" s="14">
        <f>'proyección hogares'!J493*'provincia (%)'!K215</f>
        <v>3595.419676</v>
      </c>
      <c r="K153" s="14">
        <f>'proyección hogares'!I493*'provincia (%)'!K215</f>
        <v>3667.026567</v>
      </c>
      <c r="L153" s="14">
        <f>'proyección hogares'!H493*'provincia (%)'!K215</f>
        <v>3739.710253</v>
      </c>
      <c r="M153" s="14">
        <f>'proyección hogares'!G493*'provincia (%)'!K215</f>
        <v>3807.54836</v>
      </c>
      <c r="N153" s="14">
        <f>'proyección hogares'!F493*'provincia (%)'!K215</f>
        <v>3878.078456</v>
      </c>
      <c r="O153" s="14">
        <f>'proyección hogares'!E493*'provincia (%)'!K215</f>
        <v>3947.531756</v>
      </c>
      <c r="P153" s="14">
        <f>'proyección hogares'!D493*'provincia (%)'!K215</f>
        <v>4008.909091</v>
      </c>
      <c r="Q153" s="14">
        <f>'proyección hogares'!C493*'provincia (%)'!K215</f>
        <v>4069.748028</v>
      </c>
      <c r="R153" s="14">
        <f>'proyección hogares'!B493*'provincia (%)'!K215</f>
        <v>4125.202989</v>
      </c>
    </row>
    <row r="154" ht="15.0" customHeight="1">
      <c r="A154" s="6" t="s">
        <v>71</v>
      </c>
      <c r="B154" s="7" t="s">
        <v>21</v>
      </c>
      <c r="C154" s="8">
        <f>'proyección hogares'!Q507*'provincia (%)'!K217</f>
        <v>1822.399217</v>
      </c>
      <c r="D154" s="8">
        <f>'proyección hogares'!P507*'provincia (%)'!K217</f>
        <v>1910.568493</v>
      </c>
      <c r="E154" s="8">
        <f>'proyección hogares'!O507*'provincia (%)'!K217</f>
        <v>1996.278865</v>
      </c>
      <c r="F154" s="8">
        <f>'proyección hogares'!N507*'provincia (%)'!K217</f>
        <v>2080.935421</v>
      </c>
      <c r="G154" s="8">
        <f>'proyección hogares'!M507*'provincia (%)'!K217</f>
        <v>2164.186888</v>
      </c>
      <c r="H154" s="8">
        <f>'proyección hogares'!L507*'provincia (%)'!K217</f>
        <v>2244.62818</v>
      </c>
      <c r="I154" s="8">
        <f>'proyección hogares'!K507*'provincia (%)'!K217</f>
        <v>2324.366928</v>
      </c>
      <c r="J154" s="8">
        <f>'proyección hogares'!J507*'provincia (%)'!K217</f>
        <v>2405.159491</v>
      </c>
      <c r="K154" s="8">
        <f>'proyección hogares'!I507*'provincia (%)'!K217</f>
        <v>2483.493151</v>
      </c>
      <c r="L154" s="8">
        <f>'proyección hogares'!H507*'provincia (%)'!K217</f>
        <v>2560.07045</v>
      </c>
      <c r="M154" s="8">
        <f>'proyección hogares'!G507*'provincia (%)'!K217</f>
        <v>2633.135029</v>
      </c>
      <c r="N154" s="8">
        <f>'proyección hogares'!F507*'provincia (%)'!K217</f>
        <v>2706.550881</v>
      </c>
      <c r="O154" s="8">
        <f>'proyección hogares'!E507*'provincia (%)'!K217</f>
        <v>2776.805284</v>
      </c>
      <c r="P154" s="8">
        <f>'proyección hogares'!D507*'provincia (%)'!K217</f>
        <v>2845.654599</v>
      </c>
      <c r="Q154" s="8">
        <f>'proyección hogares'!C507*'provincia (%)'!K217</f>
        <v>2914.503914</v>
      </c>
      <c r="R154" s="8">
        <f>'proyección hogares'!B507*'provincia (%)'!K217</f>
        <v>2980.543053</v>
      </c>
    </row>
    <row r="155" ht="15.0" customHeight="1">
      <c r="A155" s="9"/>
      <c r="B155" s="10" t="s">
        <v>22</v>
      </c>
      <c r="C155" s="11">
        <f>'proyección hogares'!Q507*'provincia (%)'!K218</f>
        <v>937.6623177</v>
      </c>
      <c r="D155" s="11">
        <f>'proyección hogares'!P507*'provincia (%)'!K218</f>
        <v>983.0272448</v>
      </c>
      <c r="E155" s="11">
        <f>'proyección hogares'!O507*'provincia (%)'!K218</f>
        <v>1027.127015</v>
      </c>
      <c r="F155" s="11">
        <f>'proyección hogares'!N507*'provincia (%)'!K218</f>
        <v>1070.684574</v>
      </c>
      <c r="G155" s="11">
        <f>'proyección hogares'!M507*'provincia (%)'!K218</f>
        <v>1113.519186</v>
      </c>
      <c r="H155" s="11">
        <f>'proyección hogares'!L507*'provincia (%)'!K218</f>
        <v>1154.907905</v>
      </c>
      <c r="I155" s="11">
        <f>'proyección hogares'!K507*'provincia (%)'!K218</f>
        <v>1195.93515</v>
      </c>
      <c r="J155" s="11">
        <f>'proyección hogares'!J507*'provincia (%)'!K218</f>
        <v>1237.504605</v>
      </c>
      <c r="K155" s="11">
        <f>'proyección hogares'!I507*'provincia (%)'!K218</f>
        <v>1277.808903</v>
      </c>
      <c r="L155" s="11">
        <f>'proyección hogares'!H507*'provincia (%)'!K218</f>
        <v>1317.209517</v>
      </c>
      <c r="M155" s="11">
        <f>'proyección hogares'!G507*'provincia (%)'!K218</f>
        <v>1354.802763</v>
      </c>
      <c r="N155" s="11">
        <f>'proyección hogares'!F507*'provincia (%)'!K218</f>
        <v>1392.576746</v>
      </c>
      <c r="O155" s="11">
        <f>'proyección hogares'!E507*'provincia (%)'!K218</f>
        <v>1428.724098</v>
      </c>
      <c r="P155" s="11">
        <f>'proyección hogares'!D507*'provincia (%)'!K218</f>
        <v>1464.148503</v>
      </c>
      <c r="Q155" s="11">
        <f>'proyección hogares'!C507*'provincia (%)'!K218</f>
        <v>1499.572909</v>
      </c>
      <c r="R155" s="11">
        <f>'proyección hogares'!B507*'provincia (%)'!K218</f>
        <v>1533.55142</v>
      </c>
    </row>
    <row r="156" ht="15.0" customHeight="1">
      <c r="A156" s="12"/>
      <c r="B156" s="13" t="s">
        <v>23</v>
      </c>
      <c r="C156" s="14">
        <f>'proyección hogares'!Q507*'provincia (%)'!K219</f>
        <v>2743.175719</v>
      </c>
      <c r="D156" s="14">
        <f>'proyección hogares'!P507*'provincia (%)'!K219</f>
        <v>2875.892971</v>
      </c>
      <c r="E156" s="14">
        <f>'proyección hogares'!O507*'provincia (%)'!K219</f>
        <v>3004.908946</v>
      </c>
      <c r="F156" s="14">
        <f>'proyección hogares'!N507*'provincia (%)'!K219</f>
        <v>3132.338658</v>
      </c>
      <c r="G156" s="14">
        <f>'proyección hogares'!M507*'provincia (%)'!K219</f>
        <v>3257.653355</v>
      </c>
      <c r="H156" s="14">
        <f>'proyección hogares'!L507*'provincia (%)'!K219</f>
        <v>3378.738019</v>
      </c>
      <c r="I156" s="14">
        <f>'proyección hogares'!K507*'provincia (%)'!K219</f>
        <v>3498.765176</v>
      </c>
      <c r="J156" s="14">
        <f>'proyección hogares'!J507*'provincia (%)'!K219</f>
        <v>3620.378594</v>
      </c>
      <c r="K156" s="14">
        <f>'proyección hogares'!I507*'provincia (%)'!K219</f>
        <v>3738.290735</v>
      </c>
      <c r="L156" s="14">
        <f>'proyección hogares'!H507*'provincia (%)'!K219</f>
        <v>3853.559105</v>
      </c>
      <c r="M156" s="14">
        <f>'proyección hogares'!G507*'provincia (%)'!K219</f>
        <v>3963.539936</v>
      </c>
      <c r="N156" s="14">
        <f>'proyección hogares'!F507*'provincia (%)'!K219</f>
        <v>4074.049521</v>
      </c>
      <c r="O156" s="14">
        <f>'proyección hogares'!E507*'provincia (%)'!K219</f>
        <v>4179.800319</v>
      </c>
      <c r="P156" s="14">
        <f>'proyección hogares'!D507*'provincia (%)'!K219</f>
        <v>4283.436102</v>
      </c>
      <c r="Q156" s="14">
        <f>'proyección hogares'!C507*'provincia (%)'!K219</f>
        <v>4387.071885</v>
      </c>
      <c r="R156" s="14">
        <f>'proyección hogares'!B507*'provincia (%)'!K219</f>
        <v>4486.477636</v>
      </c>
    </row>
    <row r="157" ht="15.0" customHeight="1">
      <c r="A157" s="6" t="s">
        <v>71</v>
      </c>
      <c r="B157" s="7" t="s">
        <v>21</v>
      </c>
      <c r="C157" s="8">
        <f>'proyección hogares'!Q507*'provincia (%)'!K217</f>
        <v>1822.399217</v>
      </c>
      <c r="D157" s="8">
        <f>'proyección hogares'!P507*'provincia (%)'!K217</f>
        <v>1910.568493</v>
      </c>
      <c r="E157" s="8">
        <f>'proyección hogares'!O507*'provincia (%)'!K217</f>
        <v>1996.278865</v>
      </c>
      <c r="F157" s="8">
        <f>'proyección hogares'!N507*'provincia (%)'!K217</f>
        <v>2080.935421</v>
      </c>
      <c r="G157" s="8">
        <f>'proyección hogares'!M507*'provincia (%)'!K217</f>
        <v>2164.186888</v>
      </c>
      <c r="H157" s="8">
        <f>'proyección hogares'!L507*'provincia (%)'!K217</f>
        <v>2244.62818</v>
      </c>
      <c r="I157" s="8">
        <f>'proyección hogares'!K507*'provincia (%)'!K217</f>
        <v>2324.366928</v>
      </c>
      <c r="J157" s="8">
        <f>'proyección hogares'!J507*'provincia (%)'!K217</f>
        <v>2405.159491</v>
      </c>
      <c r="K157" s="8">
        <f>'proyección hogares'!I507*'provincia (%)'!K217</f>
        <v>2483.493151</v>
      </c>
      <c r="L157" s="8">
        <f>'proyección hogares'!H507*'provincia (%)'!K217</f>
        <v>2560.07045</v>
      </c>
      <c r="M157" s="8">
        <f>'proyección hogares'!G507*'provincia (%)'!K217</f>
        <v>2633.135029</v>
      </c>
      <c r="N157" s="8">
        <f>'proyección hogares'!F507*'provincia (%)'!K217</f>
        <v>2706.550881</v>
      </c>
      <c r="O157" s="8">
        <f>'proyección hogares'!E507*'provincia (%)'!K217</f>
        <v>2776.805284</v>
      </c>
      <c r="P157" s="8">
        <f>'proyección hogares'!D507*'provincia (%)'!K217</f>
        <v>2845.654599</v>
      </c>
      <c r="Q157" s="8">
        <f>'proyección hogares'!C507*'provincia (%)'!K217</f>
        <v>2914.503914</v>
      </c>
      <c r="R157" s="8">
        <f>'proyección hogares'!B507*'provincia (%)'!K217</f>
        <v>2980.543053</v>
      </c>
    </row>
    <row r="158" ht="15.0" customHeight="1">
      <c r="A158" s="9"/>
      <c r="B158" s="10" t="s">
        <v>22</v>
      </c>
      <c r="C158" s="11">
        <f>'proyección hogares'!Q507*'provincia (%)'!K218</f>
        <v>937.6623177</v>
      </c>
      <c r="D158" s="11">
        <f>'proyección hogares'!P507*'provincia (%)'!K218</f>
        <v>983.0272448</v>
      </c>
      <c r="E158" s="11">
        <f>'proyección hogares'!O507*'provincia (%)'!K218</f>
        <v>1027.127015</v>
      </c>
      <c r="F158" s="11">
        <f>'proyección hogares'!N507*'provincia (%)'!K218</f>
        <v>1070.684574</v>
      </c>
      <c r="G158" s="11">
        <f>'proyección hogares'!M507*'provincia (%)'!K218</f>
        <v>1113.519186</v>
      </c>
      <c r="H158" s="11">
        <f>'proyección hogares'!L507*'provincia (%)'!K218</f>
        <v>1154.907905</v>
      </c>
      <c r="I158" s="11">
        <f>'proyección hogares'!K507*'provincia (%)'!K218</f>
        <v>1195.93515</v>
      </c>
      <c r="J158" s="11">
        <f>'proyección hogares'!J507*'provincia (%)'!K218</f>
        <v>1237.504605</v>
      </c>
      <c r="K158" s="11">
        <f>'proyección hogares'!I507*'provincia (%)'!K218</f>
        <v>1277.808903</v>
      </c>
      <c r="L158" s="11">
        <f>'proyección hogares'!H507*'provincia (%)'!K218</f>
        <v>1317.209517</v>
      </c>
      <c r="M158" s="11">
        <f>'proyección hogares'!G507*'provincia (%)'!K218</f>
        <v>1354.802763</v>
      </c>
      <c r="N158" s="11">
        <f>'proyección hogares'!F507*'provincia (%)'!K218</f>
        <v>1392.576746</v>
      </c>
      <c r="O158" s="11">
        <f>'proyección hogares'!E507*'provincia (%)'!K218</f>
        <v>1428.724098</v>
      </c>
      <c r="P158" s="11">
        <f>'proyección hogares'!D507*'provincia (%)'!K218</f>
        <v>1464.148503</v>
      </c>
      <c r="Q158" s="11">
        <f>'proyección hogares'!C507*'provincia (%)'!K218</f>
        <v>1499.572909</v>
      </c>
      <c r="R158" s="11">
        <f>'proyección hogares'!B507*'provincia (%)'!K218</f>
        <v>1533.55142</v>
      </c>
    </row>
    <row r="159" ht="15.0" customHeight="1">
      <c r="A159" s="12"/>
      <c r="B159" s="13" t="s">
        <v>23</v>
      </c>
      <c r="C159" s="14">
        <f>'proyección hogares'!Q507*'provincia (%)'!K219</f>
        <v>2743.175719</v>
      </c>
      <c r="D159" s="14">
        <f>'proyección hogares'!P507*'provincia (%)'!K219</f>
        <v>2875.892971</v>
      </c>
      <c r="E159" s="14">
        <f>'proyección hogares'!O507*'provincia (%)'!K219</f>
        <v>3004.908946</v>
      </c>
      <c r="F159" s="14">
        <f>'proyección hogares'!N507*'provincia (%)'!K219</f>
        <v>3132.338658</v>
      </c>
      <c r="G159" s="14">
        <f>'proyección hogares'!M507*'provincia (%)'!K219</f>
        <v>3257.653355</v>
      </c>
      <c r="H159" s="14">
        <f>'proyección hogares'!L507*'provincia (%)'!K219</f>
        <v>3378.738019</v>
      </c>
      <c r="I159" s="14">
        <f>'proyección hogares'!K507*'provincia (%)'!K219</f>
        <v>3498.765176</v>
      </c>
      <c r="J159" s="14">
        <f>'proyección hogares'!J507*'provincia (%)'!K219</f>
        <v>3620.378594</v>
      </c>
      <c r="K159" s="14">
        <f>'proyección hogares'!I507*'provincia (%)'!K219</f>
        <v>3738.290735</v>
      </c>
      <c r="L159" s="14">
        <f>'proyección hogares'!H507*'provincia (%)'!K219</f>
        <v>3853.559105</v>
      </c>
      <c r="M159" s="14">
        <f>'proyección hogares'!G507*'provincia (%)'!K219</f>
        <v>3963.539936</v>
      </c>
      <c r="N159" s="14">
        <f>'proyección hogares'!F507*'provincia (%)'!K219</f>
        <v>4074.049521</v>
      </c>
      <c r="O159" s="14">
        <f>'proyección hogares'!E507*'provincia (%)'!K219</f>
        <v>4179.800319</v>
      </c>
      <c r="P159" s="14">
        <f>'proyección hogares'!D507*'provincia (%)'!K219</f>
        <v>4283.436102</v>
      </c>
      <c r="Q159" s="14">
        <f>'proyección hogares'!C507*'provincia (%)'!K219</f>
        <v>4387.071885</v>
      </c>
      <c r="R159" s="14">
        <f>'proyección hogares'!B507*'provincia (%)'!K219</f>
        <v>4486.477636</v>
      </c>
    </row>
    <row r="160" ht="15.75" customHeight="1"/>
    <row r="161" ht="15.0" customHeight="1">
      <c r="A161" s="15" t="s">
        <v>72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R1"/>
    <mergeCell ref="A2:R2"/>
    <mergeCell ref="A161:R16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30.0"/>
    <col customWidth="1" min="2" max="17" width="11.0"/>
    <col customWidth="1" min="18" max="26" width="8.5"/>
  </cols>
  <sheetData>
    <row r="1" ht="30.0" customHeight="1">
      <c r="A1" s="16" t="s">
        <v>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8"/>
    </row>
    <row r="2" ht="18.0" customHeight="1">
      <c r="A2" s="19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9.5" customHeight="1">
      <c r="A3" s="20" t="s">
        <v>75</v>
      </c>
      <c r="B3" s="21" t="s">
        <v>4</v>
      </c>
      <c r="C3" s="21" t="s">
        <v>5</v>
      </c>
      <c r="D3" s="21" t="s">
        <v>6</v>
      </c>
      <c r="E3" s="21" t="s">
        <v>7</v>
      </c>
      <c r="F3" s="21" t="s">
        <v>8</v>
      </c>
      <c r="G3" s="21" t="s">
        <v>9</v>
      </c>
      <c r="H3" s="21" t="s">
        <v>10</v>
      </c>
      <c r="I3" s="21" t="s">
        <v>11</v>
      </c>
      <c r="J3" s="21" t="s">
        <v>12</v>
      </c>
      <c r="K3" s="21" t="s">
        <v>13</v>
      </c>
      <c r="L3" s="21" t="s">
        <v>14</v>
      </c>
      <c r="M3" s="21" t="s">
        <v>15</v>
      </c>
      <c r="N3" s="21" t="s">
        <v>16</v>
      </c>
      <c r="O3" s="21" t="s">
        <v>17</v>
      </c>
      <c r="P3" s="21" t="s">
        <v>18</v>
      </c>
      <c r="Q3" s="21" t="s">
        <v>19</v>
      </c>
    </row>
    <row r="4" ht="15.75" customHeight="1">
      <c r="A4" s="22" t="s">
        <v>20</v>
      </c>
      <c r="B4" s="23">
        <v>5433969.0</v>
      </c>
      <c r="C4" s="23">
        <v>5611451.0</v>
      </c>
      <c r="D4" s="23">
        <v>5789248.0</v>
      </c>
      <c r="E4" s="23">
        <v>5961960.0</v>
      </c>
      <c r="F4" s="23">
        <v>6132953.0</v>
      </c>
      <c r="G4" s="23">
        <v>6303421.0</v>
      </c>
      <c r="H4" s="23">
        <v>6463401.0</v>
      </c>
      <c r="I4" s="23">
        <v>6615200.0</v>
      </c>
      <c r="J4" s="23">
        <v>6762485.0</v>
      </c>
      <c r="K4" s="23">
        <v>6907696.0</v>
      </c>
      <c r="L4" s="23">
        <v>7046473.0</v>
      </c>
      <c r="M4" s="23">
        <v>7183233.0</v>
      </c>
      <c r="N4" s="23">
        <v>7318562.0</v>
      </c>
      <c r="O4" s="23">
        <v>7451795.0</v>
      </c>
      <c r="P4" s="23">
        <v>7582691.0</v>
      </c>
      <c r="Q4" s="23">
        <v>7708869.0</v>
      </c>
    </row>
    <row r="5" ht="15.75" customHeight="1">
      <c r="A5" s="24" t="s">
        <v>76</v>
      </c>
      <c r="B5" s="25">
        <v>903822.0</v>
      </c>
      <c r="C5" s="25">
        <v>937903.0</v>
      </c>
      <c r="D5" s="25">
        <v>971878.0</v>
      </c>
      <c r="E5" s="25">
        <v>1004529.0</v>
      </c>
      <c r="F5" s="25">
        <v>1037113.0</v>
      </c>
      <c r="G5" s="25">
        <v>1069331.0</v>
      </c>
      <c r="H5" s="25">
        <v>1099254.0</v>
      </c>
      <c r="I5" s="25">
        <v>1127239.0</v>
      </c>
      <c r="J5" s="25">
        <v>1154689.0</v>
      </c>
      <c r="K5" s="25">
        <v>1181731.0</v>
      </c>
      <c r="L5" s="25">
        <v>1207555.0</v>
      </c>
      <c r="M5" s="25">
        <v>1232803.0</v>
      </c>
      <c r="N5" s="25">
        <v>1257728.0</v>
      </c>
      <c r="O5" s="25">
        <v>1282246.0</v>
      </c>
      <c r="P5" s="25">
        <v>1306426.0</v>
      </c>
      <c r="Q5" s="25">
        <v>1329776.0</v>
      </c>
    </row>
    <row r="6" ht="15.75" customHeight="1">
      <c r="A6" s="26" t="s">
        <v>24</v>
      </c>
      <c r="B6" s="27">
        <v>194560.0</v>
      </c>
      <c r="C6" s="27">
        <v>202935.0</v>
      </c>
      <c r="D6" s="27">
        <v>211338.0</v>
      </c>
      <c r="E6" s="27">
        <v>219425.0</v>
      </c>
      <c r="F6" s="27">
        <v>227312.0</v>
      </c>
      <c r="G6" s="27">
        <v>234873.0</v>
      </c>
      <c r="H6" s="27">
        <v>241904.0</v>
      </c>
      <c r="I6" s="27">
        <v>248477.0</v>
      </c>
      <c r="J6" s="27">
        <v>254835.0</v>
      </c>
      <c r="K6" s="27">
        <v>261051.0</v>
      </c>
      <c r="L6" s="27">
        <v>266932.0</v>
      </c>
      <c r="M6" s="27">
        <v>272672.0</v>
      </c>
      <c r="N6" s="27">
        <v>278311.0</v>
      </c>
      <c r="O6" s="27">
        <v>283841.0</v>
      </c>
      <c r="P6" s="27">
        <v>289278.0</v>
      </c>
      <c r="Q6" s="27">
        <v>294550.0</v>
      </c>
    </row>
    <row r="7" ht="15.75" customHeight="1">
      <c r="A7" s="28" t="s">
        <v>25</v>
      </c>
      <c r="B7" s="29">
        <v>70607.0</v>
      </c>
      <c r="C7" s="29">
        <v>72644.0</v>
      </c>
      <c r="D7" s="29">
        <v>74595.0</v>
      </c>
      <c r="E7" s="29">
        <v>76335.0</v>
      </c>
      <c r="F7" s="29">
        <v>78173.0</v>
      </c>
      <c r="G7" s="29">
        <v>80088.0</v>
      </c>
      <c r="H7" s="29">
        <v>81807.0</v>
      </c>
      <c r="I7" s="29">
        <v>83312.0</v>
      </c>
      <c r="J7" s="29">
        <v>84765.0</v>
      </c>
      <c r="K7" s="29">
        <v>86316.0</v>
      </c>
      <c r="L7" s="29">
        <v>87784.0</v>
      </c>
      <c r="M7" s="29">
        <v>89152.0</v>
      </c>
      <c r="N7" s="29">
        <v>90517.0</v>
      </c>
      <c r="O7" s="29">
        <v>91904.0</v>
      </c>
      <c r="P7" s="29">
        <v>93228.0</v>
      </c>
      <c r="Q7" s="29">
        <v>94569.0</v>
      </c>
    </row>
    <row r="8" ht="15.75" customHeight="1">
      <c r="A8" s="26" t="s">
        <v>26</v>
      </c>
      <c r="B8" s="27">
        <v>79818.0</v>
      </c>
      <c r="C8" s="27">
        <v>83189.0</v>
      </c>
      <c r="D8" s="27">
        <v>86578.0</v>
      </c>
      <c r="E8" s="27">
        <v>89954.0</v>
      </c>
      <c r="F8" s="27">
        <v>93244.0</v>
      </c>
      <c r="G8" s="27">
        <v>96480.0</v>
      </c>
      <c r="H8" s="27">
        <v>99486.0</v>
      </c>
      <c r="I8" s="27">
        <v>102360.0</v>
      </c>
      <c r="J8" s="27">
        <v>105144.0</v>
      </c>
      <c r="K8" s="27">
        <v>107855.0</v>
      </c>
      <c r="L8" s="27">
        <v>110483.0</v>
      </c>
      <c r="M8" s="27">
        <v>113077.0</v>
      </c>
      <c r="N8" s="27">
        <v>115681.0</v>
      </c>
      <c r="O8" s="27">
        <v>118267.0</v>
      </c>
      <c r="P8" s="27">
        <v>120874.0</v>
      </c>
      <c r="Q8" s="27">
        <v>123442.0</v>
      </c>
    </row>
    <row r="9" ht="15.75" customHeight="1">
      <c r="A9" s="28" t="s">
        <v>27</v>
      </c>
      <c r="B9" s="29">
        <v>55051.0</v>
      </c>
      <c r="C9" s="29">
        <v>56979.0</v>
      </c>
      <c r="D9" s="29">
        <v>58894.0</v>
      </c>
      <c r="E9" s="29">
        <v>60730.0</v>
      </c>
      <c r="F9" s="29">
        <v>62637.0</v>
      </c>
      <c r="G9" s="29">
        <v>64517.0</v>
      </c>
      <c r="H9" s="29">
        <v>66252.0</v>
      </c>
      <c r="I9" s="29">
        <v>67887.0</v>
      </c>
      <c r="J9" s="29">
        <v>69486.0</v>
      </c>
      <c r="K9" s="29">
        <v>71039.0</v>
      </c>
      <c r="L9" s="29">
        <v>72541.0</v>
      </c>
      <c r="M9" s="29">
        <v>74023.0</v>
      </c>
      <c r="N9" s="29">
        <v>75483.0</v>
      </c>
      <c r="O9" s="29">
        <v>76912.0</v>
      </c>
      <c r="P9" s="29">
        <v>78335.0</v>
      </c>
      <c r="Q9" s="29">
        <v>79681.0</v>
      </c>
    </row>
    <row r="10" ht="15.75" customHeight="1">
      <c r="A10" s="26" t="s">
        <v>28</v>
      </c>
      <c r="B10" s="27">
        <v>121834.0</v>
      </c>
      <c r="C10" s="27">
        <v>126498.0</v>
      </c>
      <c r="D10" s="27">
        <v>131145.0</v>
      </c>
      <c r="E10" s="27">
        <v>135685.0</v>
      </c>
      <c r="F10" s="27">
        <v>140149.0</v>
      </c>
      <c r="G10" s="27">
        <v>144608.0</v>
      </c>
      <c r="H10" s="27">
        <v>148776.0</v>
      </c>
      <c r="I10" s="27">
        <v>152735.0</v>
      </c>
      <c r="J10" s="27">
        <v>156582.0</v>
      </c>
      <c r="K10" s="27">
        <v>160391.0</v>
      </c>
      <c r="L10" s="27">
        <v>164002.0</v>
      </c>
      <c r="M10" s="27">
        <v>167515.0</v>
      </c>
      <c r="N10" s="27">
        <v>170993.0</v>
      </c>
      <c r="O10" s="27">
        <v>174375.0</v>
      </c>
      <c r="P10" s="27">
        <v>177737.0</v>
      </c>
      <c r="Q10" s="27">
        <v>180901.0</v>
      </c>
    </row>
    <row r="11" ht="15.75" customHeight="1">
      <c r="A11" s="28" t="s">
        <v>29</v>
      </c>
      <c r="B11" s="29">
        <v>182224.0</v>
      </c>
      <c r="C11" s="29">
        <v>188943.0</v>
      </c>
      <c r="D11" s="29">
        <v>195682.0</v>
      </c>
      <c r="E11" s="29">
        <v>202110.0</v>
      </c>
      <c r="F11" s="29">
        <v>208633.0</v>
      </c>
      <c r="G11" s="29">
        <v>215193.0</v>
      </c>
      <c r="H11" s="29">
        <v>221370.0</v>
      </c>
      <c r="I11" s="29">
        <v>227181.0</v>
      </c>
      <c r="J11" s="29">
        <v>233008.0</v>
      </c>
      <c r="K11" s="29">
        <v>238743.0</v>
      </c>
      <c r="L11" s="29">
        <v>244255.0</v>
      </c>
      <c r="M11" s="29">
        <v>249673.0</v>
      </c>
      <c r="N11" s="29">
        <v>255031.0</v>
      </c>
      <c r="O11" s="29">
        <v>260250.0</v>
      </c>
      <c r="P11" s="29">
        <v>265448.0</v>
      </c>
      <c r="Q11" s="29">
        <v>270429.0</v>
      </c>
    </row>
    <row r="12" ht="15.75" customHeight="1">
      <c r="A12" s="26" t="s">
        <v>30</v>
      </c>
      <c r="B12" s="27">
        <v>117197.0</v>
      </c>
      <c r="C12" s="27">
        <v>121410.0</v>
      </c>
      <c r="D12" s="27">
        <v>125657.0</v>
      </c>
      <c r="E12" s="27">
        <v>129795.0</v>
      </c>
      <c r="F12" s="27">
        <v>133897.0</v>
      </c>
      <c r="G12" s="27">
        <v>137933.0</v>
      </c>
      <c r="H12" s="27">
        <v>141655.0</v>
      </c>
      <c r="I12" s="27">
        <v>145170.0</v>
      </c>
      <c r="J12" s="27">
        <v>148617.0</v>
      </c>
      <c r="K12" s="27">
        <v>151945.0</v>
      </c>
      <c r="L12" s="27">
        <v>155132.0</v>
      </c>
      <c r="M12" s="27">
        <v>158287.0</v>
      </c>
      <c r="N12" s="27">
        <v>161383.0</v>
      </c>
      <c r="O12" s="27">
        <v>164458.0</v>
      </c>
      <c r="P12" s="27">
        <v>167425.0</v>
      </c>
      <c r="Q12" s="27">
        <v>170310.0</v>
      </c>
    </row>
    <row r="13" ht="15.75" customHeight="1">
      <c r="A13" s="28" t="s">
        <v>31</v>
      </c>
      <c r="B13" s="29">
        <v>82531.0</v>
      </c>
      <c r="C13" s="29">
        <v>85305.0</v>
      </c>
      <c r="D13" s="29">
        <v>87989.0</v>
      </c>
      <c r="E13" s="29">
        <v>90495.0</v>
      </c>
      <c r="F13" s="29">
        <v>93068.0</v>
      </c>
      <c r="G13" s="29">
        <v>95639.0</v>
      </c>
      <c r="H13" s="29">
        <v>98004.0</v>
      </c>
      <c r="I13" s="29">
        <v>100117.0</v>
      </c>
      <c r="J13" s="29">
        <v>102252.0</v>
      </c>
      <c r="K13" s="29">
        <v>104391.0</v>
      </c>
      <c r="L13" s="29">
        <v>106426.0</v>
      </c>
      <c r="M13" s="29">
        <v>108404.0</v>
      </c>
      <c r="N13" s="29">
        <v>110329.0</v>
      </c>
      <c r="O13" s="29">
        <v>112239.0</v>
      </c>
      <c r="P13" s="29">
        <v>114101.0</v>
      </c>
      <c r="Q13" s="29">
        <v>115894.0</v>
      </c>
    </row>
    <row r="14" ht="15.75" customHeight="1">
      <c r="A14" s="24" t="s">
        <v>77</v>
      </c>
      <c r="B14" s="25">
        <v>171369.0</v>
      </c>
      <c r="C14" s="25">
        <v>176982.0</v>
      </c>
      <c r="D14" s="25">
        <v>182646.0</v>
      </c>
      <c r="E14" s="25">
        <v>188257.0</v>
      </c>
      <c r="F14" s="25">
        <v>193860.0</v>
      </c>
      <c r="G14" s="25">
        <v>199493.0</v>
      </c>
      <c r="H14" s="25">
        <v>204831.0</v>
      </c>
      <c r="I14" s="25">
        <v>210001.0</v>
      </c>
      <c r="J14" s="25">
        <v>215054.0</v>
      </c>
      <c r="K14" s="25">
        <v>220105.0</v>
      </c>
      <c r="L14" s="25">
        <v>224960.0</v>
      </c>
      <c r="M14" s="25">
        <v>229711.0</v>
      </c>
      <c r="N14" s="25">
        <v>234502.0</v>
      </c>
      <c r="O14" s="25">
        <v>239182.0</v>
      </c>
      <c r="P14" s="25">
        <v>243831.0</v>
      </c>
      <c r="Q14" s="25">
        <v>248263.0</v>
      </c>
    </row>
    <row r="15" ht="15.75" customHeight="1">
      <c r="A15" s="28" t="s">
        <v>32</v>
      </c>
      <c r="B15" s="29">
        <v>123376.0</v>
      </c>
      <c r="C15" s="29">
        <v>127435.0</v>
      </c>
      <c r="D15" s="29">
        <v>131554.0</v>
      </c>
      <c r="E15" s="29">
        <v>135656.0</v>
      </c>
      <c r="F15" s="29">
        <v>139747.0</v>
      </c>
      <c r="G15" s="29">
        <v>143861.0</v>
      </c>
      <c r="H15" s="29">
        <v>147742.0</v>
      </c>
      <c r="I15" s="29">
        <v>151517.0</v>
      </c>
      <c r="J15" s="29">
        <v>155204.0</v>
      </c>
      <c r="K15" s="29">
        <v>158889.0</v>
      </c>
      <c r="L15" s="29">
        <v>162399.0</v>
      </c>
      <c r="M15" s="29">
        <v>165876.0</v>
      </c>
      <c r="N15" s="29">
        <v>169362.0</v>
      </c>
      <c r="O15" s="29">
        <v>172778.0</v>
      </c>
      <c r="P15" s="29">
        <v>176152.0</v>
      </c>
      <c r="Q15" s="29">
        <v>179379.0</v>
      </c>
    </row>
    <row r="16" ht="15.75" customHeight="1">
      <c r="A16" s="26" t="s">
        <v>33</v>
      </c>
      <c r="B16" s="27">
        <v>18421.0</v>
      </c>
      <c r="C16" s="27">
        <v>18997.0</v>
      </c>
      <c r="D16" s="27">
        <v>19558.0</v>
      </c>
      <c r="E16" s="27">
        <v>20105.0</v>
      </c>
      <c r="F16" s="27">
        <v>20672.0</v>
      </c>
      <c r="G16" s="27">
        <v>21221.0</v>
      </c>
      <c r="H16" s="27">
        <v>21751.0</v>
      </c>
      <c r="I16" s="27">
        <v>22269.0</v>
      </c>
      <c r="J16" s="27">
        <v>22768.0</v>
      </c>
      <c r="K16" s="27">
        <v>23268.0</v>
      </c>
      <c r="L16" s="27">
        <v>23766.0</v>
      </c>
      <c r="M16" s="27">
        <v>24223.0</v>
      </c>
      <c r="N16" s="27">
        <v>24695.0</v>
      </c>
      <c r="O16" s="27">
        <v>25153.0</v>
      </c>
      <c r="P16" s="27">
        <v>25622.0</v>
      </c>
      <c r="Q16" s="27">
        <v>26059.0</v>
      </c>
    </row>
    <row r="17" ht="15.75" customHeight="1">
      <c r="A17" s="28" t="s">
        <v>34</v>
      </c>
      <c r="B17" s="29">
        <v>29572.0</v>
      </c>
      <c r="C17" s="29">
        <v>30550.0</v>
      </c>
      <c r="D17" s="29">
        <v>31534.0</v>
      </c>
      <c r="E17" s="29">
        <v>32496.0</v>
      </c>
      <c r="F17" s="29">
        <v>33441.0</v>
      </c>
      <c r="G17" s="29">
        <v>34411.0</v>
      </c>
      <c r="H17" s="29">
        <v>35338.0</v>
      </c>
      <c r="I17" s="29">
        <v>36215.0</v>
      </c>
      <c r="J17" s="29">
        <v>37082.0</v>
      </c>
      <c r="K17" s="29">
        <v>37948.0</v>
      </c>
      <c r="L17" s="29">
        <v>38795.0</v>
      </c>
      <c r="M17" s="29">
        <v>39612.0</v>
      </c>
      <c r="N17" s="29">
        <v>40445.0</v>
      </c>
      <c r="O17" s="29">
        <v>41251.0</v>
      </c>
      <c r="P17" s="29">
        <v>42057.0</v>
      </c>
      <c r="Q17" s="29">
        <v>42825.0</v>
      </c>
    </row>
    <row r="18" ht="15.75" customHeight="1">
      <c r="A18" s="24" t="s">
        <v>78</v>
      </c>
      <c r="B18" s="25">
        <v>153834.0</v>
      </c>
      <c r="C18" s="25">
        <v>156869.0</v>
      </c>
      <c r="D18" s="25">
        <v>159940.0</v>
      </c>
      <c r="E18" s="25">
        <v>162950.0</v>
      </c>
      <c r="F18" s="25">
        <v>165889.0</v>
      </c>
      <c r="G18" s="25">
        <v>168798.0</v>
      </c>
      <c r="H18" s="25">
        <v>171582.0</v>
      </c>
      <c r="I18" s="25">
        <v>174168.0</v>
      </c>
      <c r="J18" s="25">
        <v>176705.0</v>
      </c>
      <c r="K18" s="25">
        <v>179234.0</v>
      </c>
      <c r="L18" s="25">
        <v>181550.0</v>
      </c>
      <c r="M18" s="25">
        <v>183809.0</v>
      </c>
      <c r="N18" s="25">
        <v>186027.0</v>
      </c>
      <c r="O18" s="25">
        <v>188178.0</v>
      </c>
      <c r="P18" s="25">
        <v>190224.0</v>
      </c>
      <c r="Q18" s="25">
        <v>192089.0</v>
      </c>
    </row>
    <row r="19" ht="15.75" customHeight="1">
      <c r="A19" s="28" t="s">
        <v>35</v>
      </c>
      <c r="B19" s="29">
        <v>153834.0</v>
      </c>
      <c r="C19" s="29">
        <v>156869.0</v>
      </c>
      <c r="D19" s="29">
        <v>159940.0</v>
      </c>
      <c r="E19" s="29">
        <v>162950.0</v>
      </c>
      <c r="F19" s="29">
        <v>165889.0</v>
      </c>
      <c r="G19" s="29">
        <v>168798.0</v>
      </c>
      <c r="H19" s="29">
        <v>171582.0</v>
      </c>
      <c r="I19" s="29">
        <v>174168.0</v>
      </c>
      <c r="J19" s="29">
        <v>176705.0</v>
      </c>
      <c r="K19" s="29">
        <v>179234.0</v>
      </c>
      <c r="L19" s="29">
        <v>181550.0</v>
      </c>
      <c r="M19" s="29">
        <v>183809.0</v>
      </c>
      <c r="N19" s="29">
        <v>186027.0</v>
      </c>
      <c r="O19" s="29">
        <v>188178.0</v>
      </c>
      <c r="P19" s="29">
        <v>190224.0</v>
      </c>
      <c r="Q19" s="29">
        <v>192089.0</v>
      </c>
    </row>
    <row r="20" ht="15.75" customHeight="1">
      <c r="A20" s="24" t="s">
        <v>79</v>
      </c>
      <c r="B20" s="25">
        <v>119142.0</v>
      </c>
      <c r="C20" s="25">
        <v>122788.0</v>
      </c>
      <c r="D20" s="25">
        <v>126340.0</v>
      </c>
      <c r="E20" s="25">
        <v>129865.0</v>
      </c>
      <c r="F20" s="25">
        <v>133270.0</v>
      </c>
      <c r="G20" s="25">
        <v>136640.0</v>
      </c>
      <c r="H20" s="25">
        <v>139705.0</v>
      </c>
      <c r="I20" s="25">
        <v>142615.0</v>
      </c>
      <c r="J20" s="25">
        <v>145418.0</v>
      </c>
      <c r="K20" s="25">
        <v>148156.0</v>
      </c>
      <c r="L20" s="25">
        <v>150735.0</v>
      </c>
      <c r="M20" s="25">
        <v>153292.0</v>
      </c>
      <c r="N20" s="25">
        <v>155807.0</v>
      </c>
      <c r="O20" s="25">
        <v>158258.0</v>
      </c>
      <c r="P20" s="25">
        <v>160698.0</v>
      </c>
      <c r="Q20" s="25">
        <v>163094.0</v>
      </c>
    </row>
    <row r="21" ht="15.75" customHeight="1">
      <c r="A21" s="24" t="s">
        <v>79</v>
      </c>
      <c r="B21" s="25">
        <v>119142.0</v>
      </c>
      <c r="C21" s="25">
        <v>122788.0</v>
      </c>
      <c r="D21" s="25">
        <v>126340.0</v>
      </c>
      <c r="E21" s="25">
        <v>129865.0</v>
      </c>
      <c r="F21" s="25">
        <v>133270.0</v>
      </c>
      <c r="G21" s="25">
        <v>136640.0</v>
      </c>
      <c r="H21" s="25">
        <v>139705.0</v>
      </c>
      <c r="I21" s="25">
        <v>142615.0</v>
      </c>
      <c r="J21" s="25">
        <v>145418.0</v>
      </c>
      <c r="K21" s="25">
        <v>148156.0</v>
      </c>
      <c r="L21" s="25">
        <v>150735.0</v>
      </c>
      <c r="M21" s="25">
        <v>153292.0</v>
      </c>
      <c r="N21" s="25">
        <v>155807.0</v>
      </c>
      <c r="O21" s="25">
        <v>158258.0</v>
      </c>
      <c r="P21" s="25">
        <v>160698.0</v>
      </c>
      <c r="Q21" s="25">
        <v>163094.0</v>
      </c>
    </row>
    <row r="22" ht="15.75" customHeight="1">
      <c r="A22" s="24" t="s">
        <v>80</v>
      </c>
      <c r="B22" s="25">
        <v>233684.0</v>
      </c>
      <c r="C22" s="25">
        <v>241352.0</v>
      </c>
      <c r="D22" s="25">
        <v>248957.0</v>
      </c>
      <c r="E22" s="25">
        <v>256318.0</v>
      </c>
      <c r="F22" s="25">
        <v>263407.0</v>
      </c>
      <c r="G22" s="25">
        <v>270216.0</v>
      </c>
      <c r="H22" s="25">
        <v>276623.0</v>
      </c>
      <c r="I22" s="25">
        <v>282700.0</v>
      </c>
      <c r="J22" s="25">
        <v>288524.0</v>
      </c>
      <c r="K22" s="25">
        <v>294147.0</v>
      </c>
      <c r="L22" s="25">
        <v>299468.0</v>
      </c>
      <c r="M22" s="25">
        <v>304645.0</v>
      </c>
      <c r="N22" s="25">
        <v>309642.0</v>
      </c>
      <c r="O22" s="25">
        <v>314506.0</v>
      </c>
      <c r="P22" s="25">
        <v>319210.0</v>
      </c>
      <c r="Q22" s="25">
        <v>323737.0</v>
      </c>
    </row>
    <row r="23" ht="15.75" customHeight="1">
      <c r="A23" s="28" t="s">
        <v>36</v>
      </c>
      <c r="B23" s="29">
        <v>114793.0</v>
      </c>
      <c r="C23" s="29">
        <v>118353.0</v>
      </c>
      <c r="D23" s="29">
        <v>121870.0</v>
      </c>
      <c r="E23" s="29">
        <v>125252.0</v>
      </c>
      <c r="F23" s="29">
        <v>128490.0</v>
      </c>
      <c r="G23" s="29">
        <v>131578.0</v>
      </c>
      <c r="H23" s="29">
        <v>134441.0</v>
      </c>
      <c r="I23" s="29">
        <v>137114.0</v>
      </c>
      <c r="J23" s="29">
        <v>139667.0</v>
      </c>
      <c r="K23" s="29">
        <v>142104.0</v>
      </c>
      <c r="L23" s="29">
        <v>144417.0</v>
      </c>
      <c r="M23" s="29">
        <v>146689.0</v>
      </c>
      <c r="N23" s="29">
        <v>148891.0</v>
      </c>
      <c r="O23" s="29">
        <v>151040.0</v>
      </c>
      <c r="P23" s="29">
        <v>153102.0</v>
      </c>
      <c r="Q23" s="29">
        <v>155067.0</v>
      </c>
    </row>
    <row r="24" ht="15.75" customHeight="1">
      <c r="A24" s="26" t="s">
        <v>81</v>
      </c>
      <c r="B24" s="27">
        <v>118891.0</v>
      </c>
      <c r="C24" s="27">
        <v>122999.0</v>
      </c>
      <c r="D24" s="27">
        <v>127087.0</v>
      </c>
      <c r="E24" s="27">
        <v>131066.0</v>
      </c>
      <c r="F24" s="27">
        <v>134917.0</v>
      </c>
      <c r="G24" s="27">
        <v>138638.0</v>
      </c>
      <c r="H24" s="27">
        <v>142182.0</v>
      </c>
      <c r="I24" s="27">
        <v>145586.0</v>
      </c>
      <c r="J24" s="27">
        <v>148857.0</v>
      </c>
      <c r="K24" s="27">
        <v>152043.0</v>
      </c>
      <c r="L24" s="27">
        <v>155051.0</v>
      </c>
      <c r="M24" s="27">
        <v>157956.0</v>
      </c>
      <c r="N24" s="27">
        <v>160751.0</v>
      </c>
      <c r="O24" s="27">
        <v>163466.0</v>
      </c>
      <c r="P24" s="27">
        <v>166108.0</v>
      </c>
      <c r="Q24" s="27">
        <v>168670.0</v>
      </c>
    </row>
    <row r="25" ht="15.75" customHeight="1">
      <c r="A25" s="24" t="s">
        <v>37</v>
      </c>
      <c r="B25" s="25">
        <v>75107.0</v>
      </c>
      <c r="C25" s="25">
        <v>76907.0</v>
      </c>
      <c r="D25" s="25">
        <v>78755.0</v>
      </c>
      <c r="E25" s="25">
        <v>80587.0</v>
      </c>
      <c r="F25" s="25">
        <v>82392.0</v>
      </c>
      <c r="G25" s="25">
        <v>84218.0</v>
      </c>
      <c r="H25" s="25">
        <v>85969.0</v>
      </c>
      <c r="I25" s="25">
        <v>87685.0</v>
      </c>
      <c r="J25" s="25">
        <v>89329.0</v>
      </c>
      <c r="K25" s="25">
        <v>90963.0</v>
      </c>
      <c r="L25" s="25">
        <v>92535.0</v>
      </c>
      <c r="M25" s="25">
        <v>94050.0</v>
      </c>
      <c r="N25" s="25">
        <v>95540.0</v>
      </c>
      <c r="O25" s="25">
        <v>97022.0</v>
      </c>
      <c r="P25" s="25">
        <v>98471.0</v>
      </c>
      <c r="Q25" s="25">
        <v>99829.0</v>
      </c>
    </row>
    <row r="26" ht="15.75" customHeight="1">
      <c r="A26" s="24" t="s">
        <v>37</v>
      </c>
      <c r="B26" s="25">
        <v>75107.0</v>
      </c>
      <c r="C26" s="25">
        <v>76907.0</v>
      </c>
      <c r="D26" s="25">
        <v>78755.0</v>
      </c>
      <c r="E26" s="25">
        <v>80587.0</v>
      </c>
      <c r="F26" s="25">
        <v>82392.0</v>
      </c>
      <c r="G26" s="25">
        <v>84218.0</v>
      </c>
      <c r="H26" s="25">
        <v>85969.0</v>
      </c>
      <c r="I26" s="25">
        <v>87685.0</v>
      </c>
      <c r="J26" s="25">
        <v>89329.0</v>
      </c>
      <c r="K26" s="25">
        <v>90963.0</v>
      </c>
      <c r="L26" s="25">
        <v>92535.0</v>
      </c>
      <c r="M26" s="25">
        <v>94050.0</v>
      </c>
      <c r="N26" s="25">
        <v>95540.0</v>
      </c>
      <c r="O26" s="25">
        <v>97022.0</v>
      </c>
      <c r="P26" s="25">
        <v>98471.0</v>
      </c>
      <c r="Q26" s="25">
        <v>99829.0</v>
      </c>
    </row>
    <row r="27" ht="15.75" customHeight="1">
      <c r="A27" s="24" t="s">
        <v>82</v>
      </c>
      <c r="B27" s="25">
        <v>239151.0</v>
      </c>
      <c r="C27" s="25">
        <v>246940.0</v>
      </c>
      <c r="D27" s="25">
        <v>254619.0</v>
      </c>
      <c r="E27" s="25">
        <v>262156.0</v>
      </c>
      <c r="F27" s="25">
        <v>269796.0</v>
      </c>
      <c r="G27" s="25">
        <v>277617.0</v>
      </c>
      <c r="H27" s="25">
        <v>284981.0</v>
      </c>
      <c r="I27" s="25">
        <v>292040.0</v>
      </c>
      <c r="J27" s="25">
        <v>298829.0</v>
      </c>
      <c r="K27" s="25">
        <v>305687.0</v>
      </c>
      <c r="L27" s="25">
        <v>312239.0</v>
      </c>
      <c r="M27" s="25">
        <v>318659.0</v>
      </c>
      <c r="N27" s="25">
        <v>325064.0</v>
      </c>
      <c r="O27" s="25">
        <v>331479.0</v>
      </c>
      <c r="P27" s="25">
        <v>337836.0</v>
      </c>
      <c r="Q27" s="25">
        <v>344056.0</v>
      </c>
    </row>
    <row r="28" ht="15.75" customHeight="1">
      <c r="A28" s="26" t="s">
        <v>38</v>
      </c>
      <c r="B28" s="27">
        <v>32663.0</v>
      </c>
      <c r="C28" s="27">
        <v>33786.0</v>
      </c>
      <c r="D28" s="27">
        <v>34921.0</v>
      </c>
      <c r="E28" s="27">
        <v>36074.0</v>
      </c>
      <c r="F28" s="27">
        <v>37213.0</v>
      </c>
      <c r="G28" s="27">
        <v>38370.0</v>
      </c>
      <c r="H28" s="27">
        <v>39479.0</v>
      </c>
      <c r="I28" s="27">
        <v>40585.0</v>
      </c>
      <c r="J28" s="27">
        <v>41645.0</v>
      </c>
      <c r="K28" s="27">
        <v>42704.0</v>
      </c>
      <c r="L28" s="27">
        <v>43735.0</v>
      </c>
      <c r="M28" s="27">
        <v>44758.0</v>
      </c>
      <c r="N28" s="27">
        <v>45786.0</v>
      </c>
      <c r="O28" s="27">
        <v>46817.0</v>
      </c>
      <c r="P28" s="27">
        <v>47811.0</v>
      </c>
      <c r="Q28" s="27">
        <v>48789.0</v>
      </c>
    </row>
    <row r="29" ht="15.75" customHeight="1">
      <c r="A29" s="28" t="s">
        <v>39</v>
      </c>
      <c r="B29" s="29">
        <v>57735.0</v>
      </c>
      <c r="C29" s="29">
        <v>59460.0</v>
      </c>
      <c r="D29" s="29">
        <v>61166.0</v>
      </c>
      <c r="E29" s="29">
        <v>62755.0</v>
      </c>
      <c r="F29" s="29">
        <v>64415.0</v>
      </c>
      <c r="G29" s="29">
        <v>66138.0</v>
      </c>
      <c r="H29" s="29">
        <v>67726.0</v>
      </c>
      <c r="I29" s="29">
        <v>69215.0</v>
      </c>
      <c r="J29" s="29">
        <v>70624.0</v>
      </c>
      <c r="K29" s="29">
        <v>72081.0</v>
      </c>
      <c r="L29" s="29">
        <v>73453.0</v>
      </c>
      <c r="M29" s="29">
        <v>74740.0</v>
      </c>
      <c r="N29" s="29">
        <v>76023.0</v>
      </c>
      <c r="O29" s="29">
        <v>77324.0</v>
      </c>
      <c r="P29" s="29">
        <v>78632.0</v>
      </c>
      <c r="Q29" s="29">
        <v>79891.0</v>
      </c>
    </row>
    <row r="30" ht="15.75" customHeight="1">
      <c r="A30" s="26" t="s">
        <v>40</v>
      </c>
      <c r="B30" s="27">
        <v>45345.0</v>
      </c>
      <c r="C30" s="27">
        <v>46826.0</v>
      </c>
      <c r="D30" s="27">
        <v>48247.0</v>
      </c>
      <c r="E30" s="27">
        <v>49649.0</v>
      </c>
      <c r="F30" s="27">
        <v>51037.0</v>
      </c>
      <c r="G30" s="27">
        <v>52458.0</v>
      </c>
      <c r="H30" s="27">
        <v>53790.0</v>
      </c>
      <c r="I30" s="27">
        <v>55068.0</v>
      </c>
      <c r="J30" s="27">
        <v>56273.0</v>
      </c>
      <c r="K30" s="27">
        <v>57467.0</v>
      </c>
      <c r="L30" s="27">
        <v>58619.0</v>
      </c>
      <c r="M30" s="27">
        <v>59746.0</v>
      </c>
      <c r="N30" s="27">
        <v>60867.0</v>
      </c>
      <c r="O30" s="27">
        <v>61943.0</v>
      </c>
      <c r="P30" s="27">
        <v>63024.0</v>
      </c>
      <c r="Q30" s="27">
        <v>64077.0</v>
      </c>
    </row>
    <row r="31" ht="15.75" customHeight="1">
      <c r="A31" s="28" t="s">
        <v>41</v>
      </c>
      <c r="B31" s="29">
        <v>76435.0</v>
      </c>
      <c r="C31" s="29">
        <v>79216.0</v>
      </c>
      <c r="D31" s="29">
        <v>81983.0</v>
      </c>
      <c r="E31" s="29">
        <v>84726.0</v>
      </c>
      <c r="F31" s="29">
        <v>87531.0</v>
      </c>
      <c r="G31" s="29">
        <v>90396.0</v>
      </c>
      <c r="H31" s="29">
        <v>93127.0</v>
      </c>
      <c r="I31" s="29">
        <v>95729.0</v>
      </c>
      <c r="J31" s="29">
        <v>98295.0</v>
      </c>
      <c r="K31" s="29">
        <v>100887.0</v>
      </c>
      <c r="L31" s="29">
        <v>103365.0</v>
      </c>
      <c r="M31" s="29">
        <v>105842.0</v>
      </c>
      <c r="N31" s="29">
        <v>108317.0</v>
      </c>
      <c r="O31" s="29">
        <v>110811.0</v>
      </c>
      <c r="P31" s="29">
        <v>113269.0</v>
      </c>
      <c r="Q31" s="29">
        <v>115691.0</v>
      </c>
    </row>
    <row r="32" ht="15.75" customHeight="1">
      <c r="A32" s="26" t="s">
        <v>42</v>
      </c>
      <c r="B32" s="27">
        <v>26973.0</v>
      </c>
      <c r="C32" s="27">
        <v>27652.0</v>
      </c>
      <c r="D32" s="27">
        <v>28302.0</v>
      </c>
      <c r="E32" s="27">
        <v>28952.0</v>
      </c>
      <c r="F32" s="27">
        <v>29600.0</v>
      </c>
      <c r="G32" s="27">
        <v>30255.0</v>
      </c>
      <c r="H32" s="27">
        <v>30859.0</v>
      </c>
      <c r="I32" s="27">
        <v>31443.0</v>
      </c>
      <c r="J32" s="27">
        <v>31992.0</v>
      </c>
      <c r="K32" s="27">
        <v>32548.0</v>
      </c>
      <c r="L32" s="27">
        <v>33067.0</v>
      </c>
      <c r="M32" s="27">
        <v>33573.0</v>
      </c>
      <c r="N32" s="27">
        <v>34071.0</v>
      </c>
      <c r="O32" s="27">
        <v>34584.0</v>
      </c>
      <c r="P32" s="27">
        <v>35100.0</v>
      </c>
      <c r="Q32" s="27">
        <v>35608.0</v>
      </c>
    </row>
    <row r="33" ht="15.75" customHeight="1">
      <c r="A33" s="24" t="s">
        <v>83</v>
      </c>
      <c r="B33" s="25">
        <v>368922.0</v>
      </c>
      <c r="C33" s="25">
        <v>378015.0</v>
      </c>
      <c r="D33" s="25">
        <v>387021.0</v>
      </c>
      <c r="E33" s="25">
        <v>395597.0</v>
      </c>
      <c r="F33" s="25">
        <v>404041.0</v>
      </c>
      <c r="G33" s="25">
        <v>412601.0</v>
      </c>
      <c r="H33" s="25">
        <v>420712.0</v>
      </c>
      <c r="I33" s="25">
        <v>428419.0</v>
      </c>
      <c r="J33" s="25">
        <v>435756.0</v>
      </c>
      <c r="K33" s="25">
        <v>442980.0</v>
      </c>
      <c r="L33" s="25">
        <v>449868.0</v>
      </c>
      <c r="M33" s="25">
        <v>456600.0</v>
      </c>
      <c r="N33" s="25">
        <v>463230.0</v>
      </c>
      <c r="O33" s="25">
        <v>469795.0</v>
      </c>
      <c r="P33" s="25">
        <v>476067.0</v>
      </c>
      <c r="Q33" s="25">
        <v>482066.0</v>
      </c>
    </row>
    <row r="34" ht="15.75" customHeight="1">
      <c r="A34" s="26" t="s">
        <v>43</v>
      </c>
      <c r="B34" s="27">
        <v>56508.0</v>
      </c>
      <c r="C34" s="27">
        <v>57992.0</v>
      </c>
      <c r="D34" s="27">
        <v>59488.0</v>
      </c>
      <c r="E34" s="27">
        <v>60916.0</v>
      </c>
      <c r="F34" s="27">
        <v>62341.0</v>
      </c>
      <c r="G34" s="27">
        <v>63798.0</v>
      </c>
      <c r="H34" s="27">
        <v>65165.0</v>
      </c>
      <c r="I34" s="27">
        <v>66466.0</v>
      </c>
      <c r="J34" s="27">
        <v>67725.0</v>
      </c>
      <c r="K34" s="27">
        <v>68970.0</v>
      </c>
      <c r="L34" s="27">
        <v>70178.0</v>
      </c>
      <c r="M34" s="27">
        <v>71351.0</v>
      </c>
      <c r="N34" s="27">
        <v>72491.0</v>
      </c>
      <c r="O34" s="27">
        <v>73620.0</v>
      </c>
      <c r="P34" s="27">
        <v>74705.0</v>
      </c>
      <c r="Q34" s="27">
        <v>75724.0</v>
      </c>
    </row>
    <row r="35" ht="15.75" customHeight="1">
      <c r="A35" s="28" t="s">
        <v>44</v>
      </c>
      <c r="B35" s="29">
        <v>14279.0</v>
      </c>
      <c r="C35" s="29">
        <v>14632.0</v>
      </c>
      <c r="D35" s="29">
        <v>14976.0</v>
      </c>
      <c r="E35" s="29">
        <v>15317.0</v>
      </c>
      <c r="F35" s="29">
        <v>15645.0</v>
      </c>
      <c r="G35" s="29">
        <v>15970.0</v>
      </c>
      <c r="H35" s="29">
        <v>16296.0</v>
      </c>
      <c r="I35" s="29">
        <v>16602.0</v>
      </c>
      <c r="J35" s="29">
        <v>16888.0</v>
      </c>
      <c r="K35" s="29">
        <v>17182.0</v>
      </c>
      <c r="L35" s="29">
        <v>17459.0</v>
      </c>
      <c r="M35" s="29">
        <v>17730.0</v>
      </c>
      <c r="N35" s="29">
        <v>17999.0</v>
      </c>
      <c r="O35" s="29">
        <v>18268.0</v>
      </c>
      <c r="P35" s="29">
        <v>18520.0</v>
      </c>
      <c r="Q35" s="29">
        <v>18773.0</v>
      </c>
    </row>
    <row r="36" ht="15.75" customHeight="1">
      <c r="A36" s="26" t="s">
        <v>45</v>
      </c>
      <c r="B36" s="27">
        <v>21930.0</v>
      </c>
      <c r="C36" s="27">
        <v>22518.0</v>
      </c>
      <c r="D36" s="27">
        <v>23100.0</v>
      </c>
      <c r="E36" s="27">
        <v>23680.0</v>
      </c>
      <c r="F36" s="27">
        <v>24241.0</v>
      </c>
      <c r="G36" s="27">
        <v>24822.0</v>
      </c>
      <c r="H36" s="27">
        <v>25380.0</v>
      </c>
      <c r="I36" s="27">
        <v>25916.0</v>
      </c>
      <c r="J36" s="27">
        <v>26444.0</v>
      </c>
      <c r="K36" s="27">
        <v>26957.0</v>
      </c>
      <c r="L36" s="27">
        <v>27460.0</v>
      </c>
      <c r="M36" s="27">
        <v>27975.0</v>
      </c>
      <c r="N36" s="27">
        <v>28487.0</v>
      </c>
      <c r="O36" s="27">
        <v>29008.0</v>
      </c>
      <c r="P36" s="27">
        <v>29527.0</v>
      </c>
      <c r="Q36" s="27">
        <v>30011.0</v>
      </c>
    </row>
    <row r="37" ht="15.75" customHeight="1">
      <c r="A37" s="28" t="s">
        <v>46</v>
      </c>
      <c r="B37" s="29">
        <v>24230.0</v>
      </c>
      <c r="C37" s="29">
        <v>24758.0</v>
      </c>
      <c r="D37" s="29">
        <v>25250.0</v>
      </c>
      <c r="E37" s="29">
        <v>25733.0</v>
      </c>
      <c r="F37" s="29">
        <v>26207.0</v>
      </c>
      <c r="G37" s="29">
        <v>26672.0</v>
      </c>
      <c r="H37" s="29">
        <v>27131.0</v>
      </c>
      <c r="I37" s="29">
        <v>27557.0</v>
      </c>
      <c r="J37" s="29">
        <v>27966.0</v>
      </c>
      <c r="K37" s="29">
        <v>28372.0</v>
      </c>
      <c r="L37" s="29">
        <v>28764.0</v>
      </c>
      <c r="M37" s="29">
        <v>29135.0</v>
      </c>
      <c r="N37" s="29">
        <v>29499.0</v>
      </c>
      <c r="O37" s="29">
        <v>29849.0</v>
      </c>
      <c r="P37" s="29">
        <v>30187.0</v>
      </c>
      <c r="Q37" s="29">
        <v>30489.0</v>
      </c>
    </row>
    <row r="38" ht="15.75" customHeight="1">
      <c r="A38" s="26" t="s">
        <v>47</v>
      </c>
      <c r="B38" s="27">
        <v>26934.0</v>
      </c>
      <c r="C38" s="27">
        <v>27523.0</v>
      </c>
      <c r="D38" s="27">
        <v>28110.0</v>
      </c>
      <c r="E38" s="27">
        <v>28691.0</v>
      </c>
      <c r="F38" s="27">
        <v>29243.0</v>
      </c>
      <c r="G38" s="27">
        <v>29818.0</v>
      </c>
      <c r="H38" s="27">
        <v>30360.0</v>
      </c>
      <c r="I38" s="27">
        <v>30867.0</v>
      </c>
      <c r="J38" s="27">
        <v>31350.0</v>
      </c>
      <c r="K38" s="27">
        <v>31836.0</v>
      </c>
      <c r="L38" s="27">
        <v>32301.0</v>
      </c>
      <c r="M38" s="27">
        <v>32761.0</v>
      </c>
      <c r="N38" s="27">
        <v>33233.0</v>
      </c>
      <c r="O38" s="27">
        <v>33688.0</v>
      </c>
      <c r="P38" s="27">
        <v>34137.0</v>
      </c>
      <c r="Q38" s="27">
        <v>34588.0</v>
      </c>
    </row>
    <row r="39" ht="15.75" customHeight="1">
      <c r="A39" s="28" t="s">
        <v>48</v>
      </c>
      <c r="B39" s="29">
        <v>29156.0</v>
      </c>
      <c r="C39" s="29">
        <v>29666.0</v>
      </c>
      <c r="D39" s="29">
        <v>30154.0</v>
      </c>
      <c r="E39" s="29">
        <v>30589.0</v>
      </c>
      <c r="F39" s="29">
        <v>31040.0</v>
      </c>
      <c r="G39" s="29">
        <v>31516.0</v>
      </c>
      <c r="H39" s="29">
        <v>31935.0</v>
      </c>
      <c r="I39" s="29">
        <v>32336.0</v>
      </c>
      <c r="J39" s="29">
        <v>32701.0</v>
      </c>
      <c r="K39" s="29">
        <v>33089.0</v>
      </c>
      <c r="L39" s="29">
        <v>33444.0</v>
      </c>
      <c r="M39" s="29">
        <v>33790.0</v>
      </c>
      <c r="N39" s="29">
        <v>34126.0</v>
      </c>
      <c r="O39" s="29">
        <v>34478.0</v>
      </c>
      <c r="P39" s="29">
        <v>34811.0</v>
      </c>
      <c r="Q39" s="29">
        <v>35147.0</v>
      </c>
    </row>
    <row r="40" ht="15.75" customHeight="1">
      <c r="A40" s="26" t="s">
        <v>49</v>
      </c>
      <c r="B40" s="27">
        <v>69851.0</v>
      </c>
      <c r="C40" s="27">
        <v>71917.0</v>
      </c>
      <c r="D40" s="27">
        <v>73988.0</v>
      </c>
      <c r="E40" s="27">
        <v>75943.0</v>
      </c>
      <c r="F40" s="27">
        <v>77896.0</v>
      </c>
      <c r="G40" s="27">
        <v>79860.0</v>
      </c>
      <c r="H40" s="27">
        <v>81736.0</v>
      </c>
      <c r="I40" s="27">
        <v>83540.0</v>
      </c>
      <c r="J40" s="27">
        <v>85220.0</v>
      </c>
      <c r="K40" s="27">
        <v>86881.0</v>
      </c>
      <c r="L40" s="27">
        <v>88460.0</v>
      </c>
      <c r="M40" s="27">
        <v>89980.0</v>
      </c>
      <c r="N40" s="27">
        <v>91449.0</v>
      </c>
      <c r="O40" s="27">
        <v>92933.0</v>
      </c>
      <c r="P40" s="27">
        <v>94302.0</v>
      </c>
      <c r="Q40" s="27">
        <v>95600.0</v>
      </c>
    </row>
    <row r="41" ht="15.75" customHeight="1">
      <c r="A41" s="28" t="s">
        <v>50</v>
      </c>
      <c r="B41" s="29">
        <v>52945.0</v>
      </c>
      <c r="C41" s="29">
        <v>54294.0</v>
      </c>
      <c r="D41" s="29">
        <v>55640.0</v>
      </c>
      <c r="E41" s="29">
        <v>56894.0</v>
      </c>
      <c r="F41" s="29">
        <v>58137.0</v>
      </c>
      <c r="G41" s="29">
        <v>59372.0</v>
      </c>
      <c r="H41" s="29">
        <v>60523.0</v>
      </c>
      <c r="I41" s="29">
        <v>61612.0</v>
      </c>
      <c r="J41" s="29">
        <v>62639.0</v>
      </c>
      <c r="K41" s="29">
        <v>63629.0</v>
      </c>
      <c r="L41" s="29">
        <v>64548.0</v>
      </c>
      <c r="M41" s="29">
        <v>65451.0</v>
      </c>
      <c r="N41" s="29">
        <v>66348.0</v>
      </c>
      <c r="O41" s="29">
        <v>67223.0</v>
      </c>
      <c r="P41" s="29">
        <v>68055.0</v>
      </c>
      <c r="Q41" s="29">
        <v>68875.0</v>
      </c>
    </row>
    <row r="42" ht="15.75" customHeight="1">
      <c r="A42" s="26" t="s">
        <v>51</v>
      </c>
      <c r="B42" s="27">
        <v>73089.0</v>
      </c>
      <c r="C42" s="27">
        <v>74715.0</v>
      </c>
      <c r="D42" s="27">
        <v>76315.0</v>
      </c>
      <c r="E42" s="27">
        <v>77834.0</v>
      </c>
      <c r="F42" s="27">
        <v>79291.0</v>
      </c>
      <c r="G42" s="27">
        <v>80773.0</v>
      </c>
      <c r="H42" s="27">
        <v>82186.0</v>
      </c>
      <c r="I42" s="27">
        <v>83523.0</v>
      </c>
      <c r="J42" s="27">
        <v>84823.0</v>
      </c>
      <c r="K42" s="27">
        <v>86064.0</v>
      </c>
      <c r="L42" s="27">
        <v>87254.0</v>
      </c>
      <c r="M42" s="27">
        <v>88427.0</v>
      </c>
      <c r="N42" s="27">
        <v>89598.0</v>
      </c>
      <c r="O42" s="27">
        <v>90728.0</v>
      </c>
      <c r="P42" s="27">
        <v>91823.0</v>
      </c>
      <c r="Q42" s="27">
        <v>92859.0</v>
      </c>
    </row>
    <row r="43" ht="15.75" customHeight="1">
      <c r="A43" s="24" t="s">
        <v>84</v>
      </c>
      <c r="B43" s="25">
        <v>828188.0</v>
      </c>
      <c r="C43" s="25">
        <v>856956.0</v>
      </c>
      <c r="D43" s="25">
        <v>886387.0</v>
      </c>
      <c r="E43" s="25">
        <v>914999.0</v>
      </c>
      <c r="F43" s="25">
        <v>943334.0</v>
      </c>
      <c r="G43" s="25">
        <v>971579.0</v>
      </c>
      <c r="H43" s="25">
        <v>998063.0</v>
      </c>
      <c r="I43" s="25">
        <v>1023380.0</v>
      </c>
      <c r="J43" s="25">
        <v>1047894.0</v>
      </c>
      <c r="K43" s="25">
        <v>1072078.0</v>
      </c>
      <c r="L43" s="25">
        <v>1095315.0</v>
      </c>
      <c r="M43" s="25">
        <v>1118307.0</v>
      </c>
      <c r="N43" s="25">
        <v>1141056.0</v>
      </c>
      <c r="O43" s="25">
        <v>1163325.0</v>
      </c>
      <c r="P43" s="25">
        <v>1185264.0</v>
      </c>
      <c r="Q43" s="25">
        <v>1206480.0</v>
      </c>
    </row>
    <row r="44" ht="15.75" customHeight="1">
      <c r="A44" s="26" t="s">
        <v>52</v>
      </c>
      <c r="B44" s="27">
        <v>49975.0</v>
      </c>
      <c r="C44" s="27">
        <v>51708.0</v>
      </c>
      <c r="D44" s="27">
        <v>53462.0</v>
      </c>
      <c r="E44" s="27">
        <v>55188.0</v>
      </c>
      <c r="F44" s="27">
        <v>56905.0</v>
      </c>
      <c r="G44" s="27">
        <v>58630.0</v>
      </c>
      <c r="H44" s="27">
        <v>60270.0</v>
      </c>
      <c r="I44" s="27">
        <v>61856.0</v>
      </c>
      <c r="J44" s="27">
        <v>63362.0</v>
      </c>
      <c r="K44" s="27">
        <v>64876.0</v>
      </c>
      <c r="L44" s="27">
        <v>66336.0</v>
      </c>
      <c r="M44" s="27">
        <v>67775.0</v>
      </c>
      <c r="N44" s="27">
        <v>69183.0</v>
      </c>
      <c r="O44" s="27">
        <v>70573.0</v>
      </c>
      <c r="P44" s="27">
        <v>71926.0</v>
      </c>
      <c r="Q44" s="27">
        <v>73226.0</v>
      </c>
    </row>
    <row r="45" ht="15.75" customHeight="1">
      <c r="A45" s="28" t="s">
        <v>53</v>
      </c>
      <c r="B45" s="29">
        <v>85080.0</v>
      </c>
      <c r="C45" s="29">
        <v>88363.0</v>
      </c>
      <c r="D45" s="29">
        <v>91653.0</v>
      </c>
      <c r="E45" s="29">
        <v>94904.0</v>
      </c>
      <c r="F45" s="29">
        <v>98117.0</v>
      </c>
      <c r="G45" s="29">
        <v>101327.0</v>
      </c>
      <c r="H45" s="29">
        <v>104354.0</v>
      </c>
      <c r="I45" s="29">
        <v>107304.0</v>
      </c>
      <c r="J45" s="29">
        <v>110153.0</v>
      </c>
      <c r="K45" s="29">
        <v>112948.0</v>
      </c>
      <c r="L45" s="29">
        <v>115648.0</v>
      </c>
      <c r="M45" s="29">
        <v>118338.0</v>
      </c>
      <c r="N45" s="29">
        <v>121018.0</v>
      </c>
      <c r="O45" s="29">
        <v>123633.0</v>
      </c>
      <c r="P45" s="29">
        <v>126253.0</v>
      </c>
      <c r="Q45" s="29">
        <v>128797.0</v>
      </c>
    </row>
    <row r="46" ht="15.75" customHeight="1">
      <c r="A46" s="26" t="s">
        <v>54</v>
      </c>
      <c r="B46" s="27">
        <v>596500.0</v>
      </c>
      <c r="C46" s="27">
        <v>616368.0</v>
      </c>
      <c r="D46" s="27">
        <v>636780.0</v>
      </c>
      <c r="E46" s="27">
        <v>656480.0</v>
      </c>
      <c r="F46" s="27">
        <v>675977.0</v>
      </c>
      <c r="G46" s="27">
        <v>695437.0</v>
      </c>
      <c r="H46" s="27">
        <v>713547.0</v>
      </c>
      <c r="I46" s="27">
        <v>730772.0</v>
      </c>
      <c r="J46" s="27">
        <v>747448.0</v>
      </c>
      <c r="K46" s="27">
        <v>763891.0</v>
      </c>
      <c r="L46" s="27">
        <v>779656.0</v>
      </c>
      <c r="M46" s="27">
        <v>795205.0</v>
      </c>
      <c r="N46" s="27">
        <v>810560.0</v>
      </c>
      <c r="O46" s="27">
        <v>825577.0</v>
      </c>
      <c r="P46" s="27">
        <v>840355.0</v>
      </c>
      <c r="Q46" s="27">
        <v>854633.0</v>
      </c>
    </row>
    <row r="47" ht="15.75" customHeight="1">
      <c r="A47" s="28" t="s">
        <v>55</v>
      </c>
      <c r="B47" s="29">
        <v>96633.0</v>
      </c>
      <c r="C47" s="29">
        <v>100517.0</v>
      </c>
      <c r="D47" s="29">
        <v>104492.0</v>
      </c>
      <c r="E47" s="29">
        <v>108427.0</v>
      </c>
      <c r="F47" s="29">
        <v>112335.0</v>
      </c>
      <c r="G47" s="29">
        <v>116185.0</v>
      </c>
      <c r="H47" s="29">
        <v>119892.0</v>
      </c>
      <c r="I47" s="29">
        <v>123448.0</v>
      </c>
      <c r="J47" s="29">
        <v>126931.0</v>
      </c>
      <c r="K47" s="29">
        <v>130363.0</v>
      </c>
      <c r="L47" s="29">
        <v>133675.0</v>
      </c>
      <c r="M47" s="29">
        <v>136989.0</v>
      </c>
      <c r="N47" s="29">
        <v>140295.0</v>
      </c>
      <c r="O47" s="29">
        <v>143542.0</v>
      </c>
      <c r="P47" s="29">
        <v>146730.0</v>
      </c>
      <c r="Q47" s="29">
        <v>149824.0</v>
      </c>
    </row>
    <row r="48" ht="15.75" customHeight="1">
      <c r="A48" s="24" t="s">
        <v>85</v>
      </c>
      <c r="B48" s="25">
        <v>609311.0</v>
      </c>
      <c r="C48" s="25">
        <v>631277.0</v>
      </c>
      <c r="D48" s="25">
        <v>653201.0</v>
      </c>
      <c r="E48" s="25">
        <v>674655.0</v>
      </c>
      <c r="F48" s="25">
        <v>695865.0</v>
      </c>
      <c r="G48" s="25">
        <v>716726.0</v>
      </c>
      <c r="H48" s="25">
        <v>736146.0</v>
      </c>
      <c r="I48" s="25">
        <v>754598.0</v>
      </c>
      <c r="J48" s="25">
        <v>772371.0</v>
      </c>
      <c r="K48" s="25">
        <v>789852.0</v>
      </c>
      <c r="L48" s="25">
        <v>806557.0</v>
      </c>
      <c r="M48" s="25">
        <v>823173.0</v>
      </c>
      <c r="N48" s="25">
        <v>839711.0</v>
      </c>
      <c r="O48" s="25">
        <v>856076.0</v>
      </c>
      <c r="P48" s="25">
        <v>872468.0</v>
      </c>
      <c r="Q48" s="25">
        <v>888454.0</v>
      </c>
    </row>
    <row r="49" ht="15.75" customHeight="1">
      <c r="A49" s="28" t="s">
        <v>56</v>
      </c>
      <c r="B49" s="29">
        <v>304397.0</v>
      </c>
      <c r="C49" s="29">
        <v>314001.0</v>
      </c>
      <c r="D49" s="29">
        <v>323702.0</v>
      </c>
      <c r="E49" s="29">
        <v>333126.0</v>
      </c>
      <c r="F49" s="29">
        <v>342602.0</v>
      </c>
      <c r="G49" s="29">
        <v>351983.0</v>
      </c>
      <c r="H49" s="29">
        <v>360807.0</v>
      </c>
      <c r="I49" s="29">
        <v>369238.0</v>
      </c>
      <c r="J49" s="29">
        <v>377388.0</v>
      </c>
      <c r="K49" s="29">
        <v>385495.0</v>
      </c>
      <c r="L49" s="29">
        <v>393227.0</v>
      </c>
      <c r="M49" s="29">
        <v>400997.0</v>
      </c>
      <c r="N49" s="29">
        <v>408711.0</v>
      </c>
      <c r="O49" s="29">
        <v>416373.0</v>
      </c>
      <c r="P49" s="29">
        <v>424046.0</v>
      </c>
      <c r="Q49" s="29">
        <v>431486.0</v>
      </c>
    </row>
    <row r="50" ht="15.75" customHeight="1">
      <c r="A50" s="26" t="s">
        <v>57</v>
      </c>
      <c r="B50" s="27">
        <v>229502.0</v>
      </c>
      <c r="C50" s="27">
        <v>239335.0</v>
      </c>
      <c r="D50" s="27">
        <v>249019.0</v>
      </c>
      <c r="E50" s="27">
        <v>258518.0</v>
      </c>
      <c r="F50" s="27">
        <v>267747.0</v>
      </c>
      <c r="G50" s="27">
        <v>276678.0</v>
      </c>
      <c r="H50" s="27">
        <v>284879.0</v>
      </c>
      <c r="I50" s="27">
        <v>292633.0</v>
      </c>
      <c r="J50" s="27">
        <v>300037.0</v>
      </c>
      <c r="K50" s="27">
        <v>307202.0</v>
      </c>
      <c r="L50" s="27">
        <v>314064.0</v>
      </c>
      <c r="M50" s="27">
        <v>320796.0</v>
      </c>
      <c r="N50" s="27">
        <v>327509.0</v>
      </c>
      <c r="O50" s="27">
        <v>334142.0</v>
      </c>
      <c r="P50" s="27">
        <v>340791.0</v>
      </c>
      <c r="Q50" s="27">
        <v>347322.0</v>
      </c>
    </row>
    <row r="51" ht="15.75" customHeight="1">
      <c r="A51" s="28" t="s">
        <v>58</v>
      </c>
      <c r="B51" s="29">
        <v>75412.0</v>
      </c>
      <c r="C51" s="29">
        <v>77941.0</v>
      </c>
      <c r="D51" s="29">
        <v>80480.0</v>
      </c>
      <c r="E51" s="29">
        <v>83011.0</v>
      </c>
      <c r="F51" s="29">
        <v>85516.0</v>
      </c>
      <c r="G51" s="29">
        <v>88065.0</v>
      </c>
      <c r="H51" s="29">
        <v>90460.0</v>
      </c>
      <c r="I51" s="29">
        <v>92727.0</v>
      </c>
      <c r="J51" s="29">
        <v>94946.0</v>
      </c>
      <c r="K51" s="29">
        <v>97155.0</v>
      </c>
      <c r="L51" s="29">
        <v>99266.0</v>
      </c>
      <c r="M51" s="29">
        <v>101380.0</v>
      </c>
      <c r="N51" s="29">
        <v>103491.0</v>
      </c>
      <c r="O51" s="29">
        <v>105561.0</v>
      </c>
      <c r="P51" s="29">
        <v>107631.0</v>
      </c>
      <c r="Q51" s="29">
        <v>109646.0</v>
      </c>
    </row>
    <row r="52" ht="15.75" customHeight="1">
      <c r="A52" s="24" t="s">
        <v>86</v>
      </c>
      <c r="B52" s="25">
        <v>137606.0</v>
      </c>
      <c r="C52" s="25">
        <v>141350.0</v>
      </c>
      <c r="D52" s="25">
        <v>144964.0</v>
      </c>
      <c r="E52" s="25">
        <v>148390.0</v>
      </c>
      <c r="F52" s="25">
        <v>151882.0</v>
      </c>
      <c r="G52" s="25">
        <v>155467.0</v>
      </c>
      <c r="H52" s="25">
        <v>158786.0</v>
      </c>
      <c r="I52" s="25">
        <v>161871.0</v>
      </c>
      <c r="J52" s="25">
        <v>164971.0</v>
      </c>
      <c r="K52" s="25">
        <v>168012.0</v>
      </c>
      <c r="L52" s="25">
        <v>170829.0</v>
      </c>
      <c r="M52" s="25">
        <v>173602.0</v>
      </c>
      <c r="N52" s="25">
        <v>176336.0</v>
      </c>
      <c r="O52" s="25">
        <v>179041.0</v>
      </c>
      <c r="P52" s="25">
        <v>181726.0</v>
      </c>
      <c r="Q52" s="25">
        <v>184331.0</v>
      </c>
    </row>
    <row r="53" ht="15.75" customHeight="1">
      <c r="A53" s="28" t="s">
        <v>59</v>
      </c>
      <c r="B53" s="29">
        <v>59279.0</v>
      </c>
      <c r="C53" s="29">
        <v>60574.0</v>
      </c>
      <c r="D53" s="29">
        <v>61826.0</v>
      </c>
      <c r="E53" s="29">
        <v>63030.0</v>
      </c>
      <c r="F53" s="29">
        <v>64210.0</v>
      </c>
      <c r="G53" s="29">
        <v>65448.0</v>
      </c>
      <c r="H53" s="29">
        <v>66599.0</v>
      </c>
      <c r="I53" s="29">
        <v>67670.0</v>
      </c>
      <c r="J53" s="29">
        <v>68760.0</v>
      </c>
      <c r="K53" s="29">
        <v>69837.0</v>
      </c>
      <c r="L53" s="29">
        <v>70849.0</v>
      </c>
      <c r="M53" s="29">
        <v>71844.0</v>
      </c>
      <c r="N53" s="29">
        <v>72837.0</v>
      </c>
      <c r="O53" s="29">
        <v>73823.0</v>
      </c>
      <c r="P53" s="29">
        <v>74819.0</v>
      </c>
      <c r="Q53" s="29">
        <v>75790.0</v>
      </c>
    </row>
    <row r="54" ht="15.75" customHeight="1">
      <c r="A54" s="26" t="s">
        <v>60</v>
      </c>
      <c r="B54" s="27">
        <v>78327.0</v>
      </c>
      <c r="C54" s="27">
        <v>80776.0</v>
      </c>
      <c r="D54" s="27">
        <v>83138.0</v>
      </c>
      <c r="E54" s="27">
        <v>85360.0</v>
      </c>
      <c r="F54" s="27">
        <v>87672.0</v>
      </c>
      <c r="G54" s="27">
        <v>90019.0</v>
      </c>
      <c r="H54" s="27">
        <v>92187.0</v>
      </c>
      <c r="I54" s="27">
        <v>94201.0</v>
      </c>
      <c r="J54" s="27">
        <v>96211.0</v>
      </c>
      <c r="K54" s="27">
        <v>98175.0</v>
      </c>
      <c r="L54" s="27">
        <v>99980.0</v>
      </c>
      <c r="M54" s="27">
        <v>101758.0</v>
      </c>
      <c r="N54" s="27">
        <v>103499.0</v>
      </c>
      <c r="O54" s="27">
        <v>105218.0</v>
      </c>
      <c r="P54" s="27">
        <v>106907.0</v>
      </c>
      <c r="Q54" s="27">
        <v>108541.0</v>
      </c>
    </row>
    <row r="55" ht="15.75" customHeight="1">
      <c r="A55" s="24" t="s">
        <v>87</v>
      </c>
      <c r="B55" s="25">
        <v>344075.0</v>
      </c>
      <c r="C55" s="25">
        <v>353440.0</v>
      </c>
      <c r="D55" s="25">
        <v>362791.0</v>
      </c>
      <c r="E55" s="25">
        <v>371955.0</v>
      </c>
      <c r="F55" s="25">
        <v>380816.0</v>
      </c>
      <c r="G55" s="25">
        <v>389796.0</v>
      </c>
      <c r="H55" s="25">
        <v>398399.0</v>
      </c>
      <c r="I55" s="25">
        <v>406531.0</v>
      </c>
      <c r="J55" s="25">
        <v>414358.0</v>
      </c>
      <c r="K55" s="25">
        <v>422081.0</v>
      </c>
      <c r="L55" s="25">
        <v>429420.0</v>
      </c>
      <c r="M55" s="25">
        <v>436613.0</v>
      </c>
      <c r="N55" s="25">
        <v>443751.0</v>
      </c>
      <c r="O55" s="25">
        <v>450792.0</v>
      </c>
      <c r="P55" s="25">
        <v>457547.0</v>
      </c>
      <c r="Q55" s="25">
        <v>463925.0</v>
      </c>
    </row>
    <row r="56" ht="15.75" customHeight="1">
      <c r="A56" s="26" t="s">
        <v>61</v>
      </c>
      <c r="B56" s="27">
        <v>105827.0</v>
      </c>
      <c r="C56" s="27">
        <v>108702.0</v>
      </c>
      <c r="D56" s="27">
        <v>111607.0</v>
      </c>
      <c r="E56" s="27">
        <v>114450.0</v>
      </c>
      <c r="F56" s="27">
        <v>117217.0</v>
      </c>
      <c r="G56" s="27">
        <v>120060.0</v>
      </c>
      <c r="H56" s="27">
        <v>122791.0</v>
      </c>
      <c r="I56" s="27">
        <v>125374.0</v>
      </c>
      <c r="J56" s="27">
        <v>127856.0</v>
      </c>
      <c r="K56" s="27">
        <v>130326.0</v>
      </c>
      <c r="L56" s="27">
        <v>132660.0</v>
      </c>
      <c r="M56" s="27">
        <v>134973.0</v>
      </c>
      <c r="N56" s="27">
        <v>137263.0</v>
      </c>
      <c r="O56" s="27">
        <v>139517.0</v>
      </c>
      <c r="P56" s="27">
        <v>141694.0</v>
      </c>
      <c r="Q56" s="27">
        <v>143731.0</v>
      </c>
    </row>
    <row r="57" ht="15.75" customHeight="1">
      <c r="A57" s="28" t="s">
        <v>88</v>
      </c>
      <c r="B57" s="29">
        <v>141591.0</v>
      </c>
      <c r="C57" s="29">
        <v>145973.0</v>
      </c>
      <c r="D57" s="29">
        <v>150324.0</v>
      </c>
      <c r="E57" s="29">
        <v>154598.0</v>
      </c>
      <c r="F57" s="29">
        <v>158698.0</v>
      </c>
      <c r="G57" s="29">
        <v>162872.0</v>
      </c>
      <c r="H57" s="29">
        <v>166858.0</v>
      </c>
      <c r="I57" s="29">
        <v>170635.0</v>
      </c>
      <c r="J57" s="29">
        <v>174277.0</v>
      </c>
      <c r="K57" s="29">
        <v>177857.0</v>
      </c>
      <c r="L57" s="29">
        <v>181256.0</v>
      </c>
      <c r="M57" s="29">
        <v>184558.0</v>
      </c>
      <c r="N57" s="29">
        <v>187857.0</v>
      </c>
      <c r="O57" s="29">
        <v>191109.0</v>
      </c>
      <c r="P57" s="29">
        <v>194211.0</v>
      </c>
      <c r="Q57" s="29">
        <v>197167.0</v>
      </c>
    </row>
    <row r="58" ht="15.75" customHeight="1">
      <c r="A58" s="26" t="s">
        <v>62</v>
      </c>
      <c r="B58" s="27">
        <v>47835.0</v>
      </c>
      <c r="C58" s="27">
        <v>48864.0</v>
      </c>
      <c r="D58" s="27">
        <v>49887.0</v>
      </c>
      <c r="E58" s="27">
        <v>50892.0</v>
      </c>
      <c r="F58" s="27">
        <v>51873.0</v>
      </c>
      <c r="G58" s="27">
        <v>52834.0</v>
      </c>
      <c r="H58" s="27">
        <v>53766.0</v>
      </c>
      <c r="I58" s="27">
        <v>54646.0</v>
      </c>
      <c r="J58" s="27">
        <v>55497.0</v>
      </c>
      <c r="K58" s="27">
        <v>56339.0</v>
      </c>
      <c r="L58" s="27">
        <v>57145.0</v>
      </c>
      <c r="M58" s="27">
        <v>57949.0</v>
      </c>
      <c r="N58" s="27">
        <v>58733.0</v>
      </c>
      <c r="O58" s="27">
        <v>59504.0</v>
      </c>
      <c r="P58" s="27">
        <v>60249.0</v>
      </c>
      <c r="Q58" s="27">
        <v>60962.0</v>
      </c>
    </row>
    <row r="59" ht="15.75" customHeight="1">
      <c r="A59" s="28" t="s">
        <v>63</v>
      </c>
      <c r="B59" s="29">
        <v>48822.0</v>
      </c>
      <c r="C59" s="29">
        <v>49901.0</v>
      </c>
      <c r="D59" s="29">
        <v>50973.0</v>
      </c>
      <c r="E59" s="29">
        <v>52015.0</v>
      </c>
      <c r="F59" s="29">
        <v>53028.0</v>
      </c>
      <c r="G59" s="29">
        <v>54030.0</v>
      </c>
      <c r="H59" s="29">
        <v>54984.0</v>
      </c>
      <c r="I59" s="29">
        <v>55876.0</v>
      </c>
      <c r="J59" s="29">
        <v>56728.0</v>
      </c>
      <c r="K59" s="29">
        <v>57559.0</v>
      </c>
      <c r="L59" s="29">
        <v>58359.0</v>
      </c>
      <c r="M59" s="29">
        <v>59133.0</v>
      </c>
      <c r="N59" s="29">
        <v>59898.0</v>
      </c>
      <c r="O59" s="29">
        <v>60662.0</v>
      </c>
      <c r="P59" s="29">
        <v>61393.0</v>
      </c>
      <c r="Q59" s="29">
        <v>62065.0</v>
      </c>
    </row>
    <row r="60" ht="15.75" customHeight="1">
      <c r="A60" s="24" t="s">
        <v>89</v>
      </c>
      <c r="B60" s="25">
        <v>691954.0</v>
      </c>
      <c r="C60" s="25">
        <v>715216.0</v>
      </c>
      <c r="D60" s="25">
        <v>738467.0</v>
      </c>
      <c r="E60" s="25">
        <v>760950.0</v>
      </c>
      <c r="F60" s="25">
        <v>783324.0</v>
      </c>
      <c r="G60" s="25">
        <v>805724.0</v>
      </c>
      <c r="H60" s="25">
        <v>826701.0</v>
      </c>
      <c r="I60" s="25">
        <v>846418.0</v>
      </c>
      <c r="J60" s="25">
        <v>865592.0</v>
      </c>
      <c r="K60" s="25">
        <v>884381.0</v>
      </c>
      <c r="L60" s="25">
        <v>902505.0</v>
      </c>
      <c r="M60" s="25">
        <v>920449.0</v>
      </c>
      <c r="N60" s="25">
        <v>938233.0</v>
      </c>
      <c r="O60" s="25">
        <v>955780.0</v>
      </c>
      <c r="P60" s="25">
        <v>972961.0</v>
      </c>
      <c r="Q60" s="25">
        <v>989524.0</v>
      </c>
    </row>
    <row r="61" ht="15.75" customHeight="1">
      <c r="A61" s="28" t="s">
        <v>64</v>
      </c>
      <c r="B61" s="29">
        <v>691954.0</v>
      </c>
      <c r="C61" s="29">
        <v>715216.0</v>
      </c>
      <c r="D61" s="29">
        <v>738467.0</v>
      </c>
      <c r="E61" s="29">
        <v>760950.0</v>
      </c>
      <c r="F61" s="29">
        <v>783324.0</v>
      </c>
      <c r="G61" s="29">
        <v>805724.0</v>
      </c>
      <c r="H61" s="29">
        <v>826701.0</v>
      </c>
      <c r="I61" s="29">
        <v>846418.0</v>
      </c>
      <c r="J61" s="29">
        <v>865592.0</v>
      </c>
      <c r="K61" s="29">
        <v>884381.0</v>
      </c>
      <c r="L61" s="29">
        <v>902505.0</v>
      </c>
      <c r="M61" s="29">
        <v>920449.0</v>
      </c>
      <c r="N61" s="29">
        <v>938233.0</v>
      </c>
      <c r="O61" s="29">
        <v>955780.0</v>
      </c>
      <c r="P61" s="29">
        <v>972961.0</v>
      </c>
      <c r="Q61" s="29">
        <v>989524.0</v>
      </c>
    </row>
    <row r="62" ht="15.75" customHeight="1">
      <c r="A62" s="24" t="s">
        <v>90</v>
      </c>
      <c r="B62" s="25">
        <v>136538.0</v>
      </c>
      <c r="C62" s="25">
        <v>142429.0</v>
      </c>
      <c r="D62" s="25">
        <v>148451.0</v>
      </c>
      <c r="E62" s="25">
        <v>154411.0</v>
      </c>
      <c r="F62" s="25">
        <v>160304.0</v>
      </c>
      <c r="G62" s="25">
        <v>166178.0</v>
      </c>
      <c r="H62" s="25">
        <v>171744.0</v>
      </c>
      <c r="I62" s="25">
        <v>177141.0</v>
      </c>
      <c r="J62" s="25">
        <v>182382.0</v>
      </c>
      <c r="K62" s="25">
        <v>187548.0</v>
      </c>
      <c r="L62" s="25">
        <v>192560.0</v>
      </c>
      <c r="M62" s="25">
        <v>197548.0</v>
      </c>
      <c r="N62" s="25">
        <v>202488.0</v>
      </c>
      <c r="O62" s="25">
        <v>207340.0</v>
      </c>
      <c r="P62" s="25">
        <v>212188.0</v>
      </c>
      <c r="Q62" s="25">
        <v>216965.0</v>
      </c>
    </row>
    <row r="63" ht="15.75" customHeight="1">
      <c r="A63" s="28" t="s">
        <v>65</v>
      </c>
      <c r="B63" s="29">
        <v>136538.0</v>
      </c>
      <c r="C63" s="29">
        <v>142429.0</v>
      </c>
      <c r="D63" s="29">
        <v>148451.0</v>
      </c>
      <c r="E63" s="29">
        <v>154411.0</v>
      </c>
      <c r="F63" s="29">
        <v>160304.0</v>
      </c>
      <c r="G63" s="29">
        <v>166178.0</v>
      </c>
      <c r="H63" s="29">
        <v>171744.0</v>
      </c>
      <c r="I63" s="29">
        <v>177141.0</v>
      </c>
      <c r="J63" s="29">
        <v>182382.0</v>
      </c>
      <c r="K63" s="29">
        <v>187548.0</v>
      </c>
      <c r="L63" s="29">
        <v>192560.0</v>
      </c>
      <c r="M63" s="29">
        <v>197548.0</v>
      </c>
      <c r="N63" s="29">
        <v>202488.0</v>
      </c>
      <c r="O63" s="29">
        <v>207340.0</v>
      </c>
      <c r="P63" s="29">
        <v>212188.0</v>
      </c>
      <c r="Q63" s="29">
        <v>216965.0</v>
      </c>
    </row>
    <row r="64" ht="15.75" customHeight="1">
      <c r="A64" s="24" t="s">
        <v>91</v>
      </c>
      <c r="B64" s="25">
        <v>76495.0</v>
      </c>
      <c r="C64" s="25">
        <v>78719.0</v>
      </c>
      <c r="D64" s="25">
        <v>80985.0</v>
      </c>
      <c r="E64" s="25">
        <v>83246.0</v>
      </c>
      <c r="F64" s="25">
        <v>85461.0</v>
      </c>
      <c r="G64" s="25">
        <v>87719.0</v>
      </c>
      <c r="H64" s="25">
        <v>89883.0</v>
      </c>
      <c r="I64" s="25">
        <v>91961.0</v>
      </c>
      <c r="J64" s="25">
        <v>94024.0</v>
      </c>
      <c r="K64" s="25">
        <v>96069.0</v>
      </c>
      <c r="L64" s="25">
        <v>98027.0</v>
      </c>
      <c r="M64" s="25">
        <v>99998.0</v>
      </c>
      <c r="N64" s="25">
        <v>101970.0</v>
      </c>
      <c r="O64" s="25">
        <v>103926.0</v>
      </c>
      <c r="P64" s="25">
        <v>105859.0</v>
      </c>
      <c r="Q64" s="25">
        <v>107685.0</v>
      </c>
    </row>
    <row r="65" ht="15.75" customHeight="1">
      <c r="A65" s="28" t="s">
        <v>66</v>
      </c>
      <c r="B65" s="29">
        <v>76495.0</v>
      </c>
      <c r="C65" s="29">
        <v>78719.0</v>
      </c>
      <c r="D65" s="29">
        <v>80985.0</v>
      </c>
      <c r="E65" s="29">
        <v>83246.0</v>
      </c>
      <c r="F65" s="29">
        <v>85461.0</v>
      </c>
      <c r="G65" s="29">
        <v>87719.0</v>
      </c>
      <c r="H65" s="29">
        <v>89883.0</v>
      </c>
      <c r="I65" s="29">
        <v>91961.0</v>
      </c>
      <c r="J65" s="29">
        <v>94024.0</v>
      </c>
      <c r="K65" s="29">
        <v>96069.0</v>
      </c>
      <c r="L65" s="29">
        <v>98027.0</v>
      </c>
      <c r="M65" s="29">
        <v>99998.0</v>
      </c>
      <c r="N65" s="29">
        <v>101970.0</v>
      </c>
      <c r="O65" s="29">
        <v>103926.0</v>
      </c>
      <c r="P65" s="29">
        <v>105859.0</v>
      </c>
      <c r="Q65" s="29">
        <v>107685.0</v>
      </c>
    </row>
    <row r="66" ht="15.75" customHeight="1">
      <c r="A66" s="24" t="s">
        <v>92</v>
      </c>
      <c r="B66" s="25">
        <v>290440.0</v>
      </c>
      <c r="C66" s="25">
        <v>298277.0</v>
      </c>
      <c r="D66" s="25">
        <v>306137.0</v>
      </c>
      <c r="E66" s="25">
        <v>313745.0</v>
      </c>
      <c r="F66" s="25">
        <v>321180.0</v>
      </c>
      <c r="G66" s="25">
        <v>328655.0</v>
      </c>
      <c r="H66" s="25">
        <v>335762.0</v>
      </c>
      <c r="I66" s="25">
        <v>342622.0</v>
      </c>
      <c r="J66" s="25">
        <v>349269.0</v>
      </c>
      <c r="K66" s="25">
        <v>355856.0</v>
      </c>
      <c r="L66" s="25">
        <v>362097.0</v>
      </c>
      <c r="M66" s="25">
        <v>368273.0</v>
      </c>
      <c r="N66" s="25">
        <v>374340.0</v>
      </c>
      <c r="O66" s="25">
        <v>380304.0</v>
      </c>
      <c r="P66" s="25">
        <v>385986.0</v>
      </c>
      <c r="Q66" s="25">
        <v>391346.0</v>
      </c>
    </row>
    <row r="67" ht="15.75" customHeight="1">
      <c r="A67" s="28" t="s">
        <v>67</v>
      </c>
      <c r="B67" s="29">
        <v>150421.0</v>
      </c>
      <c r="C67" s="29">
        <v>154837.0</v>
      </c>
      <c r="D67" s="29">
        <v>159264.0</v>
      </c>
      <c r="E67" s="29">
        <v>163536.0</v>
      </c>
      <c r="F67" s="29">
        <v>167711.0</v>
      </c>
      <c r="G67" s="29">
        <v>171917.0</v>
      </c>
      <c r="H67" s="29">
        <v>175891.0</v>
      </c>
      <c r="I67" s="29">
        <v>179780.0</v>
      </c>
      <c r="J67" s="29">
        <v>183511.0</v>
      </c>
      <c r="K67" s="29">
        <v>187220.0</v>
      </c>
      <c r="L67" s="29">
        <v>190749.0</v>
      </c>
      <c r="M67" s="29">
        <v>194218.0</v>
      </c>
      <c r="N67" s="29">
        <v>197638.0</v>
      </c>
      <c r="O67" s="29">
        <v>201001.0</v>
      </c>
      <c r="P67" s="29">
        <v>204213.0</v>
      </c>
      <c r="Q67" s="29">
        <v>207250.0</v>
      </c>
    </row>
    <row r="68" ht="15.75" customHeight="1">
      <c r="A68" s="26" t="s">
        <v>68</v>
      </c>
      <c r="B68" s="27">
        <v>46629.0</v>
      </c>
      <c r="C68" s="27">
        <v>47851.0</v>
      </c>
      <c r="D68" s="27">
        <v>49071.0</v>
      </c>
      <c r="E68" s="27">
        <v>50241.0</v>
      </c>
      <c r="F68" s="27">
        <v>51373.0</v>
      </c>
      <c r="G68" s="27">
        <v>52530.0</v>
      </c>
      <c r="H68" s="27">
        <v>53645.0</v>
      </c>
      <c r="I68" s="27">
        <v>54690.0</v>
      </c>
      <c r="J68" s="27">
        <v>55715.0</v>
      </c>
      <c r="K68" s="27">
        <v>56723.0</v>
      </c>
      <c r="L68" s="27">
        <v>57678.0</v>
      </c>
      <c r="M68" s="27">
        <v>58628.0</v>
      </c>
      <c r="N68" s="27">
        <v>59567.0</v>
      </c>
      <c r="O68" s="27">
        <v>60485.0</v>
      </c>
      <c r="P68" s="27">
        <v>61370.0</v>
      </c>
      <c r="Q68" s="27">
        <v>62201.0</v>
      </c>
    </row>
    <row r="69" ht="15.75" customHeight="1">
      <c r="A69" s="28" t="s">
        <v>69</v>
      </c>
      <c r="B69" s="29">
        <v>93390.0</v>
      </c>
      <c r="C69" s="29">
        <v>95589.0</v>
      </c>
      <c r="D69" s="29">
        <v>97802.0</v>
      </c>
      <c r="E69" s="29">
        <v>99968.0</v>
      </c>
      <c r="F69" s="29">
        <v>102096.0</v>
      </c>
      <c r="G69" s="29">
        <v>104208.0</v>
      </c>
      <c r="H69" s="29">
        <v>106226.0</v>
      </c>
      <c r="I69" s="29">
        <v>108152.0</v>
      </c>
      <c r="J69" s="29">
        <v>110043.0</v>
      </c>
      <c r="K69" s="29">
        <v>111913.0</v>
      </c>
      <c r="L69" s="29">
        <v>113670.0</v>
      </c>
      <c r="M69" s="29">
        <v>115427.0</v>
      </c>
      <c r="N69" s="29">
        <v>117135.0</v>
      </c>
      <c r="O69" s="29">
        <v>118818.0</v>
      </c>
      <c r="P69" s="29">
        <v>120403.0</v>
      </c>
      <c r="Q69" s="29">
        <v>121895.0</v>
      </c>
    </row>
    <row r="70" ht="15.75" customHeight="1">
      <c r="A70" s="24" t="s">
        <v>93</v>
      </c>
      <c r="B70" s="25">
        <v>43497.0</v>
      </c>
      <c r="C70" s="25">
        <v>44780.0</v>
      </c>
      <c r="D70" s="25">
        <v>46069.0</v>
      </c>
      <c r="E70" s="25">
        <v>47326.0</v>
      </c>
      <c r="F70" s="25">
        <v>48607.0</v>
      </c>
      <c r="G70" s="25">
        <v>49881.0</v>
      </c>
      <c r="H70" s="25">
        <v>51107.0</v>
      </c>
      <c r="I70" s="25">
        <v>52286.0</v>
      </c>
      <c r="J70" s="25">
        <v>53439.0</v>
      </c>
      <c r="K70" s="25">
        <v>54582.0</v>
      </c>
      <c r="L70" s="25">
        <v>55685.0</v>
      </c>
      <c r="M70" s="25">
        <v>56793.0</v>
      </c>
      <c r="N70" s="25">
        <v>57900.0</v>
      </c>
      <c r="O70" s="25">
        <v>58998.0</v>
      </c>
      <c r="P70" s="25">
        <v>60073.0</v>
      </c>
      <c r="Q70" s="25">
        <v>61102.0</v>
      </c>
    </row>
    <row r="71" ht="15.75" customHeight="1">
      <c r="A71" s="24" t="s">
        <v>93</v>
      </c>
      <c r="B71" s="25">
        <v>43497.0</v>
      </c>
      <c r="C71" s="25">
        <v>44780.0</v>
      </c>
      <c r="D71" s="25">
        <v>46069.0</v>
      </c>
      <c r="E71" s="25">
        <v>47326.0</v>
      </c>
      <c r="F71" s="25">
        <v>48607.0</v>
      </c>
      <c r="G71" s="25">
        <v>49881.0</v>
      </c>
      <c r="H71" s="25">
        <v>51107.0</v>
      </c>
      <c r="I71" s="25">
        <v>52286.0</v>
      </c>
      <c r="J71" s="25">
        <v>53439.0</v>
      </c>
      <c r="K71" s="25">
        <v>54582.0</v>
      </c>
      <c r="L71" s="25">
        <v>55685.0</v>
      </c>
      <c r="M71" s="25">
        <v>56793.0</v>
      </c>
      <c r="N71" s="25">
        <v>57900.0</v>
      </c>
      <c r="O71" s="25">
        <v>58998.0</v>
      </c>
      <c r="P71" s="25">
        <v>60073.0</v>
      </c>
      <c r="Q71" s="25">
        <v>61102.0</v>
      </c>
    </row>
    <row r="72" ht="15.75" customHeight="1">
      <c r="A72" s="24" t="s">
        <v>70</v>
      </c>
      <c r="B72" s="25">
        <v>5646.0</v>
      </c>
      <c r="C72" s="25">
        <v>5812.0</v>
      </c>
      <c r="D72" s="25">
        <v>5957.0</v>
      </c>
      <c r="E72" s="25">
        <v>6100.0</v>
      </c>
      <c r="F72" s="25">
        <v>6251.0</v>
      </c>
      <c r="G72" s="25">
        <v>6392.0</v>
      </c>
      <c r="H72" s="25">
        <v>6536.0</v>
      </c>
      <c r="I72" s="25">
        <v>6678.0</v>
      </c>
      <c r="J72" s="25">
        <v>6811.0</v>
      </c>
      <c r="K72" s="25">
        <v>6946.0</v>
      </c>
      <c r="L72" s="25">
        <v>7072.0</v>
      </c>
      <c r="M72" s="25">
        <v>7203.0</v>
      </c>
      <c r="N72" s="25">
        <v>7332.0</v>
      </c>
      <c r="O72" s="25">
        <v>7446.0</v>
      </c>
      <c r="P72" s="25">
        <v>7559.0</v>
      </c>
      <c r="Q72" s="25">
        <v>7662.0</v>
      </c>
    </row>
    <row r="73" ht="15.75" customHeight="1">
      <c r="A73" s="24" t="s">
        <v>70</v>
      </c>
      <c r="B73" s="25">
        <v>5646.0</v>
      </c>
      <c r="C73" s="25">
        <v>5812.0</v>
      </c>
      <c r="D73" s="25">
        <v>5957.0</v>
      </c>
      <c r="E73" s="25">
        <v>6100.0</v>
      </c>
      <c r="F73" s="25">
        <v>6251.0</v>
      </c>
      <c r="G73" s="25">
        <v>6392.0</v>
      </c>
      <c r="H73" s="25">
        <v>6536.0</v>
      </c>
      <c r="I73" s="25">
        <v>6678.0</v>
      </c>
      <c r="J73" s="25">
        <v>6811.0</v>
      </c>
      <c r="K73" s="25">
        <v>6946.0</v>
      </c>
      <c r="L73" s="25">
        <v>7072.0</v>
      </c>
      <c r="M73" s="25">
        <v>7203.0</v>
      </c>
      <c r="N73" s="25">
        <v>7332.0</v>
      </c>
      <c r="O73" s="25">
        <v>7446.0</v>
      </c>
      <c r="P73" s="25">
        <v>7559.0</v>
      </c>
      <c r="Q73" s="25">
        <v>7662.0</v>
      </c>
    </row>
    <row r="74" ht="15.75" customHeight="1">
      <c r="A74" s="24" t="s">
        <v>71</v>
      </c>
      <c r="B74" s="25">
        <v>5188.0</v>
      </c>
      <c r="C74" s="25">
        <v>5439.0</v>
      </c>
      <c r="D74" s="25">
        <v>5683.0</v>
      </c>
      <c r="E74" s="25">
        <v>5924.0</v>
      </c>
      <c r="F74" s="25">
        <v>6161.0</v>
      </c>
      <c r="G74" s="25">
        <v>6390.0</v>
      </c>
      <c r="H74" s="25">
        <v>6617.0</v>
      </c>
      <c r="I74" s="25">
        <v>6847.0</v>
      </c>
      <c r="J74" s="25">
        <v>7070.0</v>
      </c>
      <c r="K74" s="25">
        <v>7288.0</v>
      </c>
      <c r="L74" s="25">
        <v>7496.0</v>
      </c>
      <c r="M74" s="25">
        <v>7705.0</v>
      </c>
      <c r="N74" s="25">
        <v>7905.0</v>
      </c>
      <c r="O74" s="25">
        <v>8101.0</v>
      </c>
      <c r="P74" s="25">
        <v>8297.0</v>
      </c>
      <c r="Q74" s="25">
        <v>8485.0</v>
      </c>
    </row>
    <row r="75" ht="15.75" customHeight="1">
      <c r="A75" s="24" t="s">
        <v>71</v>
      </c>
      <c r="B75" s="25">
        <v>5188.0</v>
      </c>
      <c r="C75" s="25">
        <v>5439.0</v>
      </c>
      <c r="D75" s="25">
        <v>5683.0</v>
      </c>
      <c r="E75" s="25">
        <v>5924.0</v>
      </c>
      <c r="F75" s="25">
        <v>6161.0</v>
      </c>
      <c r="G75" s="25">
        <v>6390.0</v>
      </c>
      <c r="H75" s="25">
        <v>6617.0</v>
      </c>
      <c r="I75" s="25">
        <v>6847.0</v>
      </c>
      <c r="J75" s="25">
        <v>7070.0</v>
      </c>
      <c r="K75" s="25">
        <v>7288.0</v>
      </c>
      <c r="L75" s="25">
        <v>7496.0</v>
      </c>
      <c r="M75" s="25">
        <v>7705.0</v>
      </c>
      <c r="N75" s="25">
        <v>7905.0</v>
      </c>
      <c r="O75" s="25">
        <v>8101.0</v>
      </c>
      <c r="P75" s="25">
        <v>8297.0</v>
      </c>
      <c r="Q75" s="25">
        <v>8485.0</v>
      </c>
    </row>
    <row r="76" ht="15.75" customHeight="1"/>
    <row r="77" ht="15.75" customHeight="1">
      <c r="A77" s="30" t="s">
        <v>94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R1"/>
    <mergeCell ref="A2:R2"/>
    <mergeCell ref="A77:R7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0"/>
    <col customWidth="1" min="2" max="9" width="19.5"/>
    <col customWidth="1" min="10" max="10" width="8.88"/>
    <col customWidth="1" min="11" max="11" width="30.88"/>
  </cols>
  <sheetData>
    <row r="1">
      <c r="A1" s="31" t="s">
        <v>95</v>
      </c>
    </row>
    <row r="2">
      <c r="A2" s="32" t="s">
        <v>96</v>
      </c>
      <c r="B2" s="33"/>
      <c r="C2" s="33"/>
      <c r="D2" s="33"/>
      <c r="E2" s="33"/>
      <c r="F2" s="33"/>
      <c r="G2" s="33"/>
      <c r="H2" s="33"/>
      <c r="I2" s="33"/>
      <c r="J2" s="33"/>
      <c r="K2" s="34"/>
    </row>
    <row r="3">
      <c r="A3" s="35"/>
      <c r="B3" s="33"/>
      <c r="C3" s="33"/>
      <c r="D3" s="33"/>
      <c r="E3" s="33"/>
      <c r="F3" s="33"/>
      <c r="G3" s="33"/>
      <c r="H3" s="33"/>
      <c r="I3" s="33"/>
      <c r="J3" s="33"/>
      <c r="K3" s="34"/>
    </row>
    <row r="4">
      <c r="A4" s="36" t="s">
        <v>97</v>
      </c>
      <c r="B4" s="33"/>
      <c r="C4" s="33"/>
      <c r="D4" s="33"/>
      <c r="E4" s="33"/>
      <c r="F4" s="33"/>
      <c r="G4" s="33"/>
      <c r="H4" s="33"/>
      <c r="I4" s="33"/>
      <c r="J4" s="33"/>
      <c r="K4" s="34"/>
    </row>
    <row r="5">
      <c r="A5" s="37" t="s">
        <v>98</v>
      </c>
      <c r="B5" s="33"/>
      <c r="C5" s="33"/>
      <c r="D5" s="33"/>
      <c r="E5" s="33"/>
      <c r="F5" s="33"/>
      <c r="G5" s="33"/>
      <c r="H5" s="33"/>
      <c r="I5" s="33"/>
      <c r="J5" s="33"/>
      <c r="K5" s="34"/>
    </row>
    <row r="6">
      <c r="A6" s="35"/>
      <c r="B6" s="33"/>
      <c r="C6" s="33"/>
      <c r="D6" s="33"/>
      <c r="E6" s="33"/>
      <c r="F6" s="33"/>
      <c r="G6" s="33"/>
      <c r="H6" s="33"/>
      <c r="I6" s="33"/>
      <c r="J6" s="33"/>
      <c r="K6" s="34"/>
    </row>
    <row r="7">
      <c r="A7" s="38" t="s">
        <v>99</v>
      </c>
      <c r="B7" s="39" t="s">
        <v>100</v>
      </c>
      <c r="C7" s="39" t="s">
        <v>101</v>
      </c>
      <c r="D7" s="39" t="s">
        <v>102</v>
      </c>
      <c r="E7" s="39" t="s">
        <v>103</v>
      </c>
      <c r="F7" s="39" t="s">
        <v>104</v>
      </c>
      <c r="G7" s="39" t="s">
        <v>105</v>
      </c>
      <c r="H7" s="39" t="s">
        <v>106</v>
      </c>
      <c r="I7" s="39" t="s">
        <v>107</v>
      </c>
      <c r="K7" s="39" t="s">
        <v>108</v>
      </c>
    </row>
    <row r="8">
      <c r="A8" s="40" t="s">
        <v>20</v>
      </c>
      <c r="B8" s="33"/>
      <c r="C8" s="33"/>
      <c r="D8" s="33"/>
      <c r="E8" s="33"/>
      <c r="F8" s="33"/>
      <c r="G8" s="33"/>
      <c r="H8" s="33"/>
      <c r="I8" s="34"/>
    </row>
    <row r="9">
      <c r="A9" s="41" t="s">
        <v>109</v>
      </c>
      <c r="B9" s="42">
        <v>215287.0</v>
      </c>
      <c r="C9" s="42">
        <v>634371.0</v>
      </c>
      <c r="D9" s="42">
        <v>827023.0</v>
      </c>
      <c r="E9" s="42">
        <v>757655.0</v>
      </c>
      <c r="F9" s="42">
        <v>836056.0</v>
      </c>
      <c r="G9" s="42">
        <v>856096.0</v>
      </c>
      <c r="H9" s="42">
        <v>855206.0</v>
      </c>
      <c r="I9" s="42">
        <v>4981696.0</v>
      </c>
      <c r="K9" s="43">
        <f t="shared" ref="K9:K11" si="1">((G9+H9)/I9)</f>
        <v>0.3435179505</v>
      </c>
    </row>
    <row r="10">
      <c r="A10" s="41" t="s">
        <v>110</v>
      </c>
      <c r="B10" s="42">
        <v>125071.0</v>
      </c>
      <c r="C10" s="42">
        <v>371935.0</v>
      </c>
      <c r="D10" s="42">
        <v>527786.0</v>
      </c>
      <c r="E10" s="42">
        <v>466676.0</v>
      </c>
      <c r="F10" s="42">
        <v>364671.0</v>
      </c>
      <c r="G10" s="42">
        <v>251839.0</v>
      </c>
      <c r="H10" s="42">
        <v>204547.0</v>
      </c>
      <c r="I10" s="42">
        <v>2312523.0</v>
      </c>
      <c r="K10" s="43">
        <f t="shared" si="1"/>
        <v>0.1973541452</v>
      </c>
    </row>
    <row r="11">
      <c r="A11" s="41" t="s">
        <v>111</v>
      </c>
      <c r="B11" s="42">
        <v>90217.0</v>
      </c>
      <c r="C11" s="42">
        <v>262437.0</v>
      </c>
      <c r="D11" s="42">
        <v>299237.0</v>
      </c>
      <c r="E11" s="42">
        <v>290979.0</v>
      </c>
      <c r="F11" s="42">
        <v>471386.0</v>
      </c>
      <c r="G11" s="42">
        <v>604258.0</v>
      </c>
      <c r="H11" s="42">
        <v>650659.0</v>
      </c>
      <c r="I11" s="42">
        <v>2669173.0</v>
      </c>
      <c r="K11" s="43">
        <f t="shared" si="1"/>
        <v>0.4701519909</v>
      </c>
    </row>
    <row r="12">
      <c r="A12" s="40" t="s">
        <v>40</v>
      </c>
      <c r="B12" s="33"/>
      <c r="C12" s="33"/>
      <c r="D12" s="33"/>
      <c r="E12" s="33"/>
      <c r="F12" s="33"/>
      <c r="G12" s="33"/>
      <c r="H12" s="33"/>
      <c r="I12" s="34"/>
    </row>
    <row r="13">
      <c r="A13" s="41" t="s">
        <v>109</v>
      </c>
      <c r="B13" s="42">
        <v>2438.0</v>
      </c>
      <c r="C13" s="42">
        <v>5629.0</v>
      </c>
      <c r="D13" s="42">
        <v>5838.0</v>
      </c>
      <c r="E13" s="42">
        <v>4684.0</v>
      </c>
      <c r="F13" s="42">
        <v>5326.0</v>
      </c>
      <c r="G13" s="42">
        <v>7588.0</v>
      </c>
      <c r="H13" s="42">
        <v>8467.0</v>
      </c>
      <c r="I13" s="42">
        <v>39969.0</v>
      </c>
      <c r="K13" s="43">
        <f t="shared" ref="K13:K15" si="2">((G13+H13)/I13)</f>
        <v>0.4016863069</v>
      </c>
    </row>
    <row r="14">
      <c r="A14" s="41" t="s">
        <v>110</v>
      </c>
      <c r="B14" s="42">
        <v>1453.0</v>
      </c>
      <c r="C14" s="42">
        <v>3880.0</v>
      </c>
      <c r="D14" s="42">
        <v>4213.0</v>
      </c>
      <c r="E14" s="42">
        <v>3046.0</v>
      </c>
      <c r="F14" s="42">
        <v>2348.0</v>
      </c>
      <c r="G14" s="42">
        <v>2137.0</v>
      </c>
      <c r="H14" s="42">
        <v>2988.0</v>
      </c>
      <c r="I14" s="42">
        <v>20066.0</v>
      </c>
      <c r="K14" s="43">
        <f t="shared" si="2"/>
        <v>0.2554071564</v>
      </c>
    </row>
    <row r="15">
      <c r="A15" s="41" t="s">
        <v>111</v>
      </c>
      <c r="B15" s="42">
        <v>984.0</v>
      </c>
      <c r="C15" s="42">
        <v>1748.0</v>
      </c>
      <c r="D15" s="42">
        <v>1625.0</v>
      </c>
      <c r="E15" s="42">
        <v>1638.0</v>
      </c>
      <c r="F15" s="42">
        <v>2978.0</v>
      </c>
      <c r="G15" s="42">
        <v>5451.0</v>
      </c>
      <c r="H15" s="42">
        <v>5479.0</v>
      </c>
      <c r="I15" s="42">
        <v>19903.0</v>
      </c>
      <c r="K15" s="43">
        <f t="shared" si="2"/>
        <v>0.5491634427</v>
      </c>
    </row>
    <row r="16">
      <c r="A16" s="40" t="s">
        <v>57</v>
      </c>
      <c r="B16" s="33"/>
      <c r="C16" s="33"/>
      <c r="D16" s="33"/>
      <c r="E16" s="33"/>
      <c r="F16" s="33"/>
      <c r="G16" s="33"/>
      <c r="H16" s="33"/>
      <c r="I16" s="34"/>
    </row>
    <row r="17">
      <c r="A17" s="41" t="s">
        <v>109</v>
      </c>
      <c r="B17" s="42">
        <v>9340.0</v>
      </c>
      <c r="C17" s="42">
        <v>20068.0</v>
      </c>
      <c r="D17" s="42">
        <v>30014.0</v>
      </c>
      <c r="E17" s="42">
        <v>33345.0</v>
      </c>
      <c r="F17" s="42">
        <v>39127.0</v>
      </c>
      <c r="G17" s="42">
        <v>39634.0</v>
      </c>
      <c r="H17" s="42">
        <v>34786.0</v>
      </c>
      <c r="I17" s="42">
        <v>206314.0</v>
      </c>
      <c r="K17" s="43">
        <f t="shared" ref="K17:K19" si="3">((G17+H17)/I17)</f>
        <v>0.3607123123</v>
      </c>
    </row>
    <row r="18">
      <c r="A18" s="41" t="s">
        <v>110</v>
      </c>
      <c r="B18" s="42">
        <v>5590.0</v>
      </c>
      <c r="C18" s="42">
        <v>10223.0</v>
      </c>
      <c r="D18" s="42">
        <v>19957.0</v>
      </c>
      <c r="E18" s="42">
        <v>18877.0</v>
      </c>
      <c r="F18" s="42">
        <v>17410.0</v>
      </c>
      <c r="G18" s="42">
        <v>15080.0</v>
      </c>
      <c r="H18" s="42">
        <v>8075.0</v>
      </c>
      <c r="I18" s="42">
        <v>95212.0</v>
      </c>
      <c r="K18" s="43">
        <f t="shared" si="3"/>
        <v>0.2431941352</v>
      </c>
    </row>
    <row r="19">
      <c r="A19" s="41" t="s">
        <v>111</v>
      </c>
      <c r="B19" s="42">
        <v>3750.0</v>
      </c>
      <c r="C19" s="42">
        <v>9846.0</v>
      </c>
      <c r="D19" s="42">
        <v>10057.0</v>
      </c>
      <c r="E19" s="42">
        <v>14468.0</v>
      </c>
      <c r="F19" s="42">
        <v>21717.0</v>
      </c>
      <c r="G19" s="42">
        <v>24554.0</v>
      </c>
      <c r="H19" s="42">
        <v>26711.0</v>
      </c>
      <c r="I19" s="42">
        <v>111102.0</v>
      </c>
      <c r="K19" s="43">
        <f t="shared" si="3"/>
        <v>0.4614228367</v>
      </c>
    </row>
    <row r="20">
      <c r="A20" s="40" t="s">
        <v>26</v>
      </c>
      <c r="B20" s="33"/>
      <c r="C20" s="33"/>
      <c r="D20" s="33"/>
      <c r="E20" s="33"/>
      <c r="F20" s="33"/>
      <c r="G20" s="33"/>
      <c r="H20" s="33"/>
      <c r="I20" s="34"/>
    </row>
    <row r="21" ht="15.75" customHeight="1">
      <c r="A21" s="41" t="s">
        <v>109</v>
      </c>
      <c r="B21" s="42">
        <v>3214.0</v>
      </c>
      <c r="C21" s="42">
        <v>11249.0</v>
      </c>
      <c r="D21" s="42">
        <v>8515.0</v>
      </c>
      <c r="E21" s="42">
        <v>8170.0</v>
      </c>
      <c r="F21" s="42">
        <v>10853.0</v>
      </c>
      <c r="G21" s="42">
        <v>11916.0</v>
      </c>
      <c r="H21" s="42">
        <v>7679.0</v>
      </c>
      <c r="I21" s="42">
        <v>61595.0</v>
      </c>
      <c r="K21" s="43">
        <f t="shared" ref="K21:K23" si="4">((G21+H21)/I21)</f>
        <v>0.3181264713</v>
      </c>
    </row>
    <row r="22" ht="15.75" customHeight="1">
      <c r="A22" s="41" t="s">
        <v>110</v>
      </c>
      <c r="B22" s="42">
        <v>1932.0</v>
      </c>
      <c r="C22" s="42">
        <v>8362.0</v>
      </c>
      <c r="D22" s="42">
        <v>5932.0</v>
      </c>
      <c r="E22" s="42">
        <v>5510.0</v>
      </c>
      <c r="F22" s="42">
        <v>4961.0</v>
      </c>
      <c r="G22" s="42">
        <v>3940.0</v>
      </c>
      <c r="H22" s="42">
        <v>1988.0</v>
      </c>
      <c r="I22" s="42">
        <v>32626.0</v>
      </c>
      <c r="K22" s="43">
        <f t="shared" si="4"/>
        <v>0.1816955802</v>
      </c>
    </row>
    <row r="23" ht="15.75" customHeight="1">
      <c r="A23" s="41" t="s">
        <v>111</v>
      </c>
      <c r="B23" s="42">
        <v>1282.0</v>
      </c>
      <c r="C23" s="42">
        <v>2887.0</v>
      </c>
      <c r="D23" s="42">
        <v>2582.0</v>
      </c>
      <c r="E23" s="42">
        <v>2660.0</v>
      </c>
      <c r="F23" s="42">
        <v>5892.0</v>
      </c>
      <c r="G23" s="42">
        <v>7975.0</v>
      </c>
      <c r="H23" s="42">
        <v>5691.0</v>
      </c>
      <c r="I23" s="42">
        <v>28969.0</v>
      </c>
      <c r="K23" s="43">
        <f t="shared" si="4"/>
        <v>0.4717456592</v>
      </c>
    </row>
    <row r="24" ht="15.75" customHeight="1">
      <c r="A24" s="40" t="s">
        <v>68</v>
      </c>
      <c r="B24" s="33"/>
      <c r="C24" s="33"/>
      <c r="D24" s="33"/>
      <c r="E24" s="33"/>
      <c r="F24" s="33"/>
      <c r="G24" s="33"/>
      <c r="H24" s="33"/>
      <c r="I24" s="34"/>
      <c r="K24" s="43"/>
    </row>
    <row r="25" ht="15.75" customHeight="1">
      <c r="A25" s="41" t="s">
        <v>109</v>
      </c>
      <c r="B25" s="42">
        <v>2190.0</v>
      </c>
      <c r="C25" s="42">
        <v>5674.0</v>
      </c>
      <c r="D25" s="42">
        <v>8605.0</v>
      </c>
      <c r="E25" s="42">
        <v>6661.0</v>
      </c>
      <c r="F25" s="42">
        <v>6957.0</v>
      </c>
      <c r="G25" s="42">
        <v>5788.0</v>
      </c>
      <c r="H25" s="42">
        <v>7624.0</v>
      </c>
      <c r="I25" s="42">
        <v>43499.0</v>
      </c>
      <c r="K25" s="43">
        <f t="shared" ref="K25:K27" si="5">((G25+H25)/I25)</f>
        <v>0.3083289271</v>
      </c>
    </row>
    <row r="26" ht="15.75" customHeight="1">
      <c r="A26" s="41" t="s">
        <v>110</v>
      </c>
      <c r="B26" s="42">
        <v>1261.0</v>
      </c>
      <c r="C26" s="42">
        <v>3102.0</v>
      </c>
      <c r="D26" s="42">
        <v>5493.0</v>
      </c>
      <c r="E26" s="42">
        <v>3951.0</v>
      </c>
      <c r="F26" s="42">
        <v>3654.0</v>
      </c>
      <c r="G26" s="42">
        <v>2054.0</v>
      </c>
      <c r="H26" s="42">
        <v>1864.0</v>
      </c>
      <c r="I26" s="42">
        <v>21379.0</v>
      </c>
      <c r="K26" s="43">
        <f t="shared" si="5"/>
        <v>0.1832639506</v>
      </c>
    </row>
    <row r="27" ht="15.75" customHeight="1">
      <c r="A27" s="41" t="s">
        <v>111</v>
      </c>
      <c r="B27" s="42">
        <v>929.0</v>
      </c>
      <c r="C27" s="42">
        <v>2572.0</v>
      </c>
      <c r="D27" s="42">
        <v>3113.0</v>
      </c>
      <c r="E27" s="42">
        <v>2710.0</v>
      </c>
      <c r="F27" s="42">
        <v>3303.0</v>
      </c>
      <c r="G27" s="42">
        <v>3734.0</v>
      </c>
      <c r="H27" s="42">
        <v>5760.0</v>
      </c>
      <c r="I27" s="42">
        <v>22120.0</v>
      </c>
      <c r="K27" s="43">
        <f t="shared" si="5"/>
        <v>0.42920434</v>
      </c>
    </row>
    <row r="28" ht="15.75" customHeight="1">
      <c r="A28" s="40" t="s">
        <v>35</v>
      </c>
      <c r="B28" s="33"/>
      <c r="C28" s="33"/>
      <c r="D28" s="33"/>
      <c r="E28" s="33"/>
      <c r="F28" s="33"/>
      <c r="G28" s="33"/>
      <c r="H28" s="33"/>
      <c r="I28" s="34"/>
      <c r="K28" s="43"/>
    </row>
    <row r="29" ht="15.75" customHeight="1">
      <c r="A29" s="41" t="s">
        <v>109</v>
      </c>
      <c r="B29" s="42">
        <v>4778.0</v>
      </c>
      <c r="C29" s="42">
        <v>13936.0</v>
      </c>
      <c r="D29" s="42">
        <v>21729.0</v>
      </c>
      <c r="E29" s="42">
        <v>21403.0</v>
      </c>
      <c r="F29" s="42">
        <v>25337.0</v>
      </c>
      <c r="G29" s="42">
        <v>28597.0</v>
      </c>
      <c r="H29" s="42">
        <v>26929.0</v>
      </c>
      <c r="I29" s="42">
        <v>142709.0</v>
      </c>
      <c r="K29" s="43">
        <f t="shared" ref="K29:K31" si="6">((G29+H29)/I29)</f>
        <v>0.3890854816</v>
      </c>
    </row>
    <row r="30" ht="15.75" customHeight="1">
      <c r="A30" s="41" t="s">
        <v>110</v>
      </c>
      <c r="B30" s="42">
        <v>1637.0</v>
      </c>
      <c r="C30" s="42">
        <v>8669.0</v>
      </c>
      <c r="D30" s="42">
        <v>13304.0</v>
      </c>
      <c r="E30" s="42">
        <v>14693.0</v>
      </c>
      <c r="F30" s="42">
        <v>10652.0</v>
      </c>
      <c r="G30" s="42">
        <v>9155.0</v>
      </c>
      <c r="H30" s="42">
        <v>4165.0</v>
      </c>
      <c r="I30" s="42">
        <v>62275.0</v>
      </c>
      <c r="K30" s="43">
        <f t="shared" si="6"/>
        <v>0.213890004</v>
      </c>
    </row>
    <row r="31" ht="15.75" customHeight="1">
      <c r="A31" s="41" t="s">
        <v>111</v>
      </c>
      <c r="B31" s="42">
        <v>3141.0</v>
      </c>
      <c r="C31" s="42">
        <v>5267.0</v>
      </c>
      <c r="D31" s="42">
        <v>8425.0</v>
      </c>
      <c r="E31" s="42">
        <v>6709.0</v>
      </c>
      <c r="F31" s="42">
        <v>14686.0</v>
      </c>
      <c r="G31" s="42">
        <v>19442.0</v>
      </c>
      <c r="H31" s="42">
        <v>22764.0</v>
      </c>
      <c r="I31" s="42">
        <v>80434.0</v>
      </c>
      <c r="K31" s="43">
        <f t="shared" si="6"/>
        <v>0.5247283487</v>
      </c>
    </row>
    <row r="32" ht="15.75" customHeight="1">
      <c r="A32" s="40" t="s">
        <v>47</v>
      </c>
      <c r="B32" s="33"/>
      <c r="C32" s="33"/>
      <c r="D32" s="33"/>
      <c r="E32" s="33"/>
      <c r="F32" s="33"/>
      <c r="G32" s="33"/>
      <c r="H32" s="33"/>
      <c r="I32" s="34"/>
      <c r="K32" s="43"/>
    </row>
    <row r="33" ht="15.75" customHeight="1">
      <c r="A33" s="41" t="s">
        <v>109</v>
      </c>
      <c r="B33" s="42">
        <v>798.0</v>
      </c>
      <c r="C33" s="42">
        <v>2525.0</v>
      </c>
      <c r="D33" s="42">
        <v>2541.0</v>
      </c>
      <c r="E33" s="42">
        <v>2870.0</v>
      </c>
      <c r="F33" s="42">
        <v>4101.0</v>
      </c>
      <c r="G33" s="42">
        <v>3003.0</v>
      </c>
      <c r="H33" s="42">
        <v>5094.0</v>
      </c>
      <c r="I33" s="42">
        <v>20933.0</v>
      </c>
      <c r="K33" s="43">
        <f t="shared" ref="K33:K35" si="7">((G33+H33)/I33)</f>
        <v>0.3868055224</v>
      </c>
    </row>
    <row r="34" ht="15.75" customHeight="1">
      <c r="A34" s="41" t="s">
        <v>110</v>
      </c>
      <c r="B34" s="42">
        <v>694.0</v>
      </c>
      <c r="C34" s="42">
        <v>2024.0</v>
      </c>
      <c r="D34" s="42">
        <v>1733.0</v>
      </c>
      <c r="E34" s="42">
        <v>1945.0</v>
      </c>
      <c r="F34" s="42">
        <v>2415.0</v>
      </c>
      <c r="G34" s="42">
        <v>1150.0</v>
      </c>
      <c r="H34" s="42">
        <v>1266.0</v>
      </c>
      <c r="I34" s="42">
        <v>11227.0</v>
      </c>
      <c r="K34" s="43">
        <f t="shared" si="7"/>
        <v>0.2151955108</v>
      </c>
    </row>
    <row r="35" ht="15.75" customHeight="1">
      <c r="A35" s="41" t="s">
        <v>111</v>
      </c>
      <c r="B35" s="44" t="s">
        <v>112</v>
      </c>
      <c r="C35" s="42">
        <v>501.0</v>
      </c>
      <c r="D35" s="42">
        <v>808.0</v>
      </c>
      <c r="E35" s="42">
        <v>925.0</v>
      </c>
      <c r="F35" s="42">
        <v>1687.0</v>
      </c>
      <c r="G35" s="42">
        <v>1853.0</v>
      </c>
      <c r="H35" s="42">
        <v>3829.0</v>
      </c>
      <c r="I35" s="42">
        <v>9706.0</v>
      </c>
      <c r="K35" s="43">
        <f t="shared" si="7"/>
        <v>0.5854110859</v>
      </c>
    </row>
    <row r="36" ht="15.75" customHeight="1">
      <c r="A36" s="40" t="s">
        <v>60</v>
      </c>
      <c r="B36" s="33"/>
      <c r="C36" s="33"/>
      <c r="D36" s="33"/>
      <c r="E36" s="33"/>
      <c r="F36" s="33"/>
      <c r="G36" s="33"/>
      <c r="H36" s="33"/>
      <c r="I36" s="34"/>
      <c r="K36" s="43"/>
    </row>
    <row r="37" ht="15.75" customHeight="1">
      <c r="A37" s="41" t="s">
        <v>109</v>
      </c>
      <c r="B37" s="42">
        <v>3551.0</v>
      </c>
      <c r="C37" s="42">
        <v>9935.0</v>
      </c>
      <c r="D37" s="42">
        <v>12032.0</v>
      </c>
      <c r="E37" s="42">
        <v>8382.0</v>
      </c>
      <c r="F37" s="42">
        <v>10902.0</v>
      </c>
      <c r="G37" s="42">
        <v>12834.0</v>
      </c>
      <c r="H37" s="42">
        <v>14372.0</v>
      </c>
      <c r="I37" s="42">
        <v>72008.0</v>
      </c>
      <c r="K37" s="43">
        <f t="shared" ref="K37:K39" si="8">((G37+H37)/I37)</f>
        <v>0.3778191312</v>
      </c>
    </row>
    <row r="38" ht="15.75" customHeight="1">
      <c r="A38" s="41" t="s">
        <v>110</v>
      </c>
      <c r="B38" s="42">
        <v>2073.0</v>
      </c>
      <c r="C38" s="42">
        <v>5999.0</v>
      </c>
      <c r="D38" s="42">
        <v>8470.0</v>
      </c>
      <c r="E38" s="42">
        <v>5279.0</v>
      </c>
      <c r="F38" s="42">
        <v>5429.0</v>
      </c>
      <c r="G38" s="42">
        <v>4090.0</v>
      </c>
      <c r="H38" s="42">
        <v>3172.0</v>
      </c>
      <c r="I38" s="42">
        <v>34512.0</v>
      </c>
      <c r="K38" s="43">
        <f t="shared" si="8"/>
        <v>0.2104195642</v>
      </c>
    </row>
    <row r="39" ht="15.75" customHeight="1">
      <c r="A39" s="41" t="s">
        <v>111</v>
      </c>
      <c r="B39" s="42">
        <v>1478.0</v>
      </c>
      <c r="C39" s="42">
        <v>3936.0</v>
      </c>
      <c r="D39" s="42">
        <v>3562.0</v>
      </c>
      <c r="E39" s="42">
        <v>3103.0</v>
      </c>
      <c r="F39" s="42">
        <v>5473.0</v>
      </c>
      <c r="G39" s="42">
        <v>8745.0</v>
      </c>
      <c r="H39" s="42">
        <v>11200.0</v>
      </c>
      <c r="I39" s="42">
        <v>37496.0</v>
      </c>
      <c r="K39" s="43">
        <f t="shared" si="8"/>
        <v>0.5319234052</v>
      </c>
    </row>
    <row r="40" ht="15.75" customHeight="1">
      <c r="A40" s="40" t="s">
        <v>79</v>
      </c>
      <c r="B40" s="33"/>
      <c r="C40" s="33"/>
      <c r="D40" s="33"/>
      <c r="E40" s="33"/>
      <c r="F40" s="33"/>
      <c r="G40" s="33"/>
      <c r="H40" s="33"/>
      <c r="I40" s="34"/>
      <c r="K40" s="43"/>
    </row>
    <row r="41" ht="15.75" customHeight="1">
      <c r="A41" s="41" t="s">
        <v>109</v>
      </c>
      <c r="B41" s="42">
        <v>4334.0</v>
      </c>
      <c r="C41" s="42">
        <v>22248.0</v>
      </c>
      <c r="D41" s="42">
        <v>27375.0</v>
      </c>
      <c r="E41" s="42">
        <v>16360.0</v>
      </c>
      <c r="F41" s="42">
        <v>14937.0</v>
      </c>
      <c r="G41" s="42">
        <v>15102.0</v>
      </c>
      <c r="H41" s="42">
        <v>12102.0</v>
      </c>
      <c r="I41" s="42">
        <v>112457.0</v>
      </c>
      <c r="K41" s="43">
        <f t="shared" ref="K41:K43" si="9">((G41+H41)/I41)</f>
        <v>0.2419057951</v>
      </c>
    </row>
    <row r="42" ht="15.75" customHeight="1">
      <c r="A42" s="41" t="s">
        <v>110</v>
      </c>
      <c r="B42" s="42">
        <v>916.0</v>
      </c>
      <c r="C42" s="42">
        <v>10723.0</v>
      </c>
      <c r="D42" s="42">
        <v>17571.0</v>
      </c>
      <c r="E42" s="42">
        <v>10478.0</v>
      </c>
      <c r="F42" s="42">
        <v>6158.0</v>
      </c>
      <c r="G42" s="42">
        <v>4916.0</v>
      </c>
      <c r="H42" s="42">
        <v>2987.0</v>
      </c>
      <c r="I42" s="42">
        <v>53749.0</v>
      </c>
      <c r="K42" s="43">
        <f t="shared" si="9"/>
        <v>0.1470352937</v>
      </c>
    </row>
    <row r="43" ht="15.75" customHeight="1">
      <c r="A43" s="41" t="s">
        <v>111</v>
      </c>
      <c r="B43" s="42">
        <v>3418.0</v>
      </c>
      <c r="C43" s="42">
        <v>11524.0</v>
      </c>
      <c r="D43" s="42">
        <v>9804.0</v>
      </c>
      <c r="E43" s="42">
        <v>5883.0</v>
      </c>
      <c r="F43" s="42">
        <v>8778.0</v>
      </c>
      <c r="G43" s="42">
        <v>10186.0</v>
      </c>
      <c r="H43" s="42">
        <v>9115.0</v>
      </c>
      <c r="I43" s="42">
        <v>58708.0</v>
      </c>
      <c r="K43" s="43">
        <f t="shared" si="9"/>
        <v>0.3287626899</v>
      </c>
    </row>
    <row r="44" ht="15.75" customHeight="1">
      <c r="A44" s="40" t="s">
        <v>54</v>
      </c>
      <c r="B44" s="33"/>
      <c r="C44" s="33"/>
      <c r="D44" s="33"/>
      <c r="E44" s="33"/>
      <c r="F44" s="33"/>
      <c r="G44" s="33"/>
      <c r="H44" s="33"/>
      <c r="I44" s="34"/>
      <c r="K44" s="43"/>
    </row>
    <row r="45" ht="15.75" customHeight="1">
      <c r="A45" s="41" t="s">
        <v>109</v>
      </c>
      <c r="B45" s="42">
        <v>19404.0</v>
      </c>
      <c r="C45" s="42">
        <v>77773.0</v>
      </c>
      <c r="D45" s="42">
        <v>99448.0</v>
      </c>
      <c r="E45" s="42">
        <v>84289.0</v>
      </c>
      <c r="F45" s="42">
        <v>91901.0</v>
      </c>
      <c r="G45" s="42">
        <v>115134.0</v>
      </c>
      <c r="H45" s="42">
        <v>104232.0</v>
      </c>
      <c r="I45" s="42">
        <v>592181.0</v>
      </c>
      <c r="K45" s="43">
        <f t="shared" ref="K45:K47" si="10">((G45+H45)/I45)</f>
        <v>0.3704374169</v>
      </c>
    </row>
    <row r="46" ht="15.75" customHeight="1">
      <c r="A46" s="41" t="s">
        <v>110</v>
      </c>
      <c r="B46" s="42">
        <v>12116.0</v>
      </c>
      <c r="C46" s="42">
        <v>47480.0</v>
      </c>
      <c r="D46" s="42">
        <v>62029.0</v>
      </c>
      <c r="E46" s="42">
        <v>50531.0</v>
      </c>
      <c r="F46" s="42">
        <v>34785.0</v>
      </c>
      <c r="G46" s="42">
        <v>27670.0</v>
      </c>
      <c r="H46" s="42">
        <v>26106.0</v>
      </c>
      <c r="I46" s="42">
        <v>260716.0</v>
      </c>
      <c r="K46" s="43">
        <f t="shared" si="10"/>
        <v>0.2062627533</v>
      </c>
    </row>
    <row r="47" ht="15.75" customHeight="1">
      <c r="A47" s="41" t="s">
        <v>111</v>
      </c>
      <c r="B47" s="42">
        <v>7288.0</v>
      </c>
      <c r="C47" s="42">
        <v>30293.0</v>
      </c>
      <c r="D47" s="42">
        <v>37419.0</v>
      </c>
      <c r="E47" s="42">
        <v>33758.0</v>
      </c>
      <c r="F47" s="42">
        <v>57116.0</v>
      </c>
      <c r="G47" s="42">
        <v>87464.0</v>
      </c>
      <c r="H47" s="42">
        <v>78126.0</v>
      </c>
      <c r="I47" s="42">
        <v>331465.0</v>
      </c>
      <c r="K47" s="43">
        <f t="shared" si="10"/>
        <v>0.4995700904</v>
      </c>
    </row>
    <row r="48" ht="15.75" customHeight="1">
      <c r="A48" s="40" t="s">
        <v>67</v>
      </c>
      <c r="B48" s="33"/>
      <c r="C48" s="33"/>
      <c r="D48" s="33"/>
      <c r="E48" s="33"/>
      <c r="F48" s="33"/>
      <c r="G48" s="33"/>
      <c r="H48" s="33"/>
      <c r="I48" s="34"/>
      <c r="K48" s="43"/>
    </row>
    <row r="49" ht="15.75" customHeight="1">
      <c r="A49" s="41" t="s">
        <v>109</v>
      </c>
      <c r="B49" s="42">
        <v>3886.0</v>
      </c>
      <c r="C49" s="42">
        <v>13824.0</v>
      </c>
      <c r="D49" s="42">
        <v>26707.0</v>
      </c>
      <c r="E49" s="42">
        <v>22310.0</v>
      </c>
      <c r="F49" s="42">
        <v>25934.0</v>
      </c>
      <c r="G49" s="42">
        <v>23145.0</v>
      </c>
      <c r="H49" s="42">
        <v>25308.0</v>
      </c>
      <c r="I49" s="42">
        <v>141115.0</v>
      </c>
      <c r="K49" s="43">
        <f t="shared" ref="K49:K51" si="11">((G49+H49)/I49)</f>
        <v>0.3433582539</v>
      </c>
    </row>
    <row r="50" ht="15.75" customHeight="1">
      <c r="A50" s="41" t="s">
        <v>110</v>
      </c>
      <c r="B50" s="42">
        <v>2275.0</v>
      </c>
      <c r="C50" s="42">
        <v>7455.0</v>
      </c>
      <c r="D50" s="42">
        <v>17049.0</v>
      </c>
      <c r="E50" s="42">
        <v>13344.0</v>
      </c>
      <c r="F50" s="42">
        <v>10575.0</v>
      </c>
      <c r="G50" s="42">
        <v>4649.0</v>
      </c>
      <c r="H50" s="42">
        <v>4366.0</v>
      </c>
      <c r="I50" s="42">
        <v>59713.0</v>
      </c>
      <c r="K50" s="43">
        <f t="shared" si="11"/>
        <v>0.1509721501</v>
      </c>
    </row>
    <row r="51" ht="15.75" customHeight="1">
      <c r="A51" s="41" t="s">
        <v>111</v>
      </c>
      <c r="B51" s="42">
        <v>1612.0</v>
      </c>
      <c r="C51" s="42">
        <v>6368.0</v>
      </c>
      <c r="D51" s="42">
        <v>9658.0</v>
      </c>
      <c r="E51" s="42">
        <v>8967.0</v>
      </c>
      <c r="F51" s="42">
        <v>15359.0</v>
      </c>
      <c r="G51" s="42">
        <v>18496.0</v>
      </c>
      <c r="H51" s="42">
        <v>20942.0</v>
      </c>
      <c r="I51" s="42">
        <v>81402.0</v>
      </c>
      <c r="K51" s="43">
        <f t="shared" si="11"/>
        <v>0.4844844107</v>
      </c>
    </row>
    <row r="52" ht="15.75" customHeight="1">
      <c r="A52" s="40" t="s">
        <v>43</v>
      </c>
      <c r="B52" s="33"/>
      <c r="C52" s="33"/>
      <c r="D52" s="33"/>
      <c r="E52" s="33"/>
      <c r="F52" s="33"/>
      <c r="G52" s="33"/>
      <c r="H52" s="33"/>
      <c r="I52" s="34"/>
      <c r="K52" s="43"/>
    </row>
    <row r="53" ht="15.75" customHeight="1">
      <c r="A53" s="41" t="s">
        <v>109</v>
      </c>
      <c r="B53" s="42">
        <v>2710.0</v>
      </c>
      <c r="C53" s="42">
        <v>3766.0</v>
      </c>
      <c r="D53" s="42">
        <v>8329.0</v>
      </c>
      <c r="E53" s="42">
        <v>7298.0</v>
      </c>
      <c r="F53" s="42">
        <v>7292.0</v>
      </c>
      <c r="G53" s="42">
        <v>8345.0</v>
      </c>
      <c r="H53" s="42">
        <v>9869.0</v>
      </c>
      <c r="I53" s="42">
        <v>47608.0</v>
      </c>
      <c r="K53" s="43">
        <f t="shared" ref="K53:K55" si="12">((G53+H53)/I53)</f>
        <v>0.3825827592</v>
      </c>
    </row>
    <row r="54" ht="15.75" customHeight="1">
      <c r="A54" s="41" t="s">
        <v>110</v>
      </c>
      <c r="B54" s="42">
        <v>1259.0</v>
      </c>
      <c r="C54" s="42">
        <v>2670.0</v>
      </c>
      <c r="D54" s="42">
        <v>5667.0</v>
      </c>
      <c r="E54" s="42">
        <v>5086.0</v>
      </c>
      <c r="F54" s="42">
        <v>3578.0</v>
      </c>
      <c r="G54" s="42">
        <v>3648.0</v>
      </c>
      <c r="H54" s="42">
        <v>2527.0</v>
      </c>
      <c r="I54" s="42">
        <v>24434.0</v>
      </c>
      <c r="K54" s="43">
        <f t="shared" si="12"/>
        <v>0.2527216174</v>
      </c>
    </row>
    <row r="55" ht="15.75" customHeight="1">
      <c r="A55" s="41" t="s">
        <v>111</v>
      </c>
      <c r="B55" s="42">
        <v>1451.0</v>
      </c>
      <c r="C55" s="42">
        <v>1096.0</v>
      </c>
      <c r="D55" s="42">
        <v>2662.0</v>
      </c>
      <c r="E55" s="42">
        <v>2212.0</v>
      </c>
      <c r="F55" s="42">
        <v>3714.0</v>
      </c>
      <c r="G55" s="42">
        <v>4696.0</v>
      </c>
      <c r="H55" s="42">
        <v>7342.0</v>
      </c>
      <c r="I55" s="42">
        <v>23174.0</v>
      </c>
      <c r="K55" s="43">
        <f t="shared" si="12"/>
        <v>0.5194614654</v>
      </c>
    </row>
    <row r="56" ht="15.75" customHeight="1">
      <c r="A56" s="40" t="s">
        <v>59</v>
      </c>
      <c r="B56" s="33"/>
      <c r="C56" s="33"/>
      <c r="D56" s="33"/>
      <c r="E56" s="33"/>
      <c r="F56" s="33"/>
      <c r="G56" s="33"/>
      <c r="H56" s="33"/>
      <c r="I56" s="34"/>
      <c r="K56" s="43"/>
    </row>
    <row r="57" ht="15.75" customHeight="1">
      <c r="A57" s="41" t="s">
        <v>109</v>
      </c>
      <c r="B57" s="42">
        <v>3459.0</v>
      </c>
      <c r="C57" s="42">
        <v>6848.0</v>
      </c>
      <c r="D57" s="42">
        <v>5514.0</v>
      </c>
      <c r="E57" s="42">
        <v>6206.0</v>
      </c>
      <c r="F57" s="42">
        <v>8465.0</v>
      </c>
      <c r="G57" s="42">
        <v>9499.0</v>
      </c>
      <c r="H57" s="42">
        <v>9751.0</v>
      </c>
      <c r="I57" s="42">
        <v>49741.0</v>
      </c>
      <c r="K57" s="43">
        <f t="shared" ref="K57:K59" si="13">((G57+H57)/I57)</f>
        <v>0.3870046843</v>
      </c>
    </row>
    <row r="58" ht="15.75" customHeight="1">
      <c r="A58" s="41" t="s">
        <v>110</v>
      </c>
      <c r="B58" s="42">
        <v>2745.0</v>
      </c>
      <c r="C58" s="42">
        <v>4735.0</v>
      </c>
      <c r="D58" s="42">
        <v>4382.0</v>
      </c>
      <c r="E58" s="42">
        <v>4240.0</v>
      </c>
      <c r="F58" s="42">
        <v>4378.0</v>
      </c>
      <c r="G58" s="42">
        <v>3445.0</v>
      </c>
      <c r="H58" s="42">
        <v>2506.0</v>
      </c>
      <c r="I58" s="42">
        <v>26430.0</v>
      </c>
      <c r="K58" s="43">
        <f t="shared" si="13"/>
        <v>0.2251608021</v>
      </c>
    </row>
    <row r="59" ht="15.75" customHeight="1">
      <c r="A59" s="41" t="s">
        <v>111</v>
      </c>
      <c r="B59" s="42">
        <v>714.0</v>
      </c>
      <c r="C59" s="42">
        <v>2113.0</v>
      </c>
      <c r="D59" s="42">
        <v>1133.0</v>
      </c>
      <c r="E59" s="42">
        <v>1965.0</v>
      </c>
      <c r="F59" s="42">
        <v>4087.0</v>
      </c>
      <c r="G59" s="42">
        <v>6054.0</v>
      </c>
      <c r="H59" s="42">
        <v>7245.0</v>
      </c>
      <c r="I59" s="42">
        <v>23311.0</v>
      </c>
      <c r="K59" s="43">
        <f t="shared" si="13"/>
        <v>0.5705031959</v>
      </c>
    </row>
    <row r="60" ht="15.75" customHeight="1">
      <c r="A60" s="40" t="s">
        <v>28</v>
      </c>
      <c r="B60" s="33"/>
      <c r="C60" s="33"/>
      <c r="D60" s="33"/>
      <c r="E60" s="33"/>
      <c r="F60" s="33"/>
      <c r="G60" s="33"/>
      <c r="H60" s="33"/>
      <c r="I60" s="34"/>
      <c r="K60" s="43"/>
    </row>
    <row r="61" ht="15.75" customHeight="1">
      <c r="A61" s="41" t="s">
        <v>109</v>
      </c>
      <c r="B61" s="42">
        <v>6309.0</v>
      </c>
      <c r="C61" s="42">
        <v>16032.0</v>
      </c>
      <c r="D61" s="42">
        <v>16217.0</v>
      </c>
      <c r="E61" s="42">
        <v>17517.0</v>
      </c>
      <c r="F61" s="42">
        <v>19095.0</v>
      </c>
      <c r="G61" s="42">
        <v>19419.0</v>
      </c>
      <c r="H61" s="42">
        <v>17876.0</v>
      </c>
      <c r="I61" s="42">
        <v>112464.0</v>
      </c>
      <c r="K61" s="43">
        <f t="shared" ref="K61:K63" si="14">((G61+H61)/I61)</f>
        <v>0.3316172286</v>
      </c>
    </row>
    <row r="62" ht="15.75" customHeight="1">
      <c r="A62" s="41" t="s">
        <v>110</v>
      </c>
      <c r="B62" s="42">
        <v>4231.0</v>
      </c>
      <c r="C62" s="42">
        <v>10393.0</v>
      </c>
      <c r="D62" s="42">
        <v>11046.0</v>
      </c>
      <c r="E62" s="42">
        <v>10376.0</v>
      </c>
      <c r="F62" s="42">
        <v>8073.0</v>
      </c>
      <c r="G62" s="42">
        <v>6107.0</v>
      </c>
      <c r="H62" s="42">
        <v>4146.0</v>
      </c>
      <c r="I62" s="42">
        <v>54371.0</v>
      </c>
      <c r="K62" s="43">
        <f t="shared" si="14"/>
        <v>0.1885747917</v>
      </c>
    </row>
    <row r="63" ht="15.75" customHeight="1">
      <c r="A63" s="41" t="s">
        <v>111</v>
      </c>
      <c r="B63" s="42">
        <v>2078.0</v>
      </c>
      <c r="C63" s="42">
        <v>5639.0</v>
      </c>
      <c r="D63" s="42">
        <v>5171.0</v>
      </c>
      <c r="E63" s="42">
        <v>7141.0</v>
      </c>
      <c r="F63" s="42">
        <v>11022.0</v>
      </c>
      <c r="G63" s="42">
        <v>13312.0</v>
      </c>
      <c r="H63" s="42">
        <v>13730.0</v>
      </c>
      <c r="I63" s="42">
        <v>58093.0</v>
      </c>
      <c r="K63" s="43">
        <f t="shared" si="14"/>
        <v>0.4654949822</v>
      </c>
    </row>
    <row r="64" ht="15.75" customHeight="1">
      <c r="A64" s="40" t="s">
        <v>37</v>
      </c>
      <c r="B64" s="33"/>
      <c r="C64" s="33"/>
      <c r="D64" s="33"/>
      <c r="E64" s="33"/>
      <c r="F64" s="33"/>
      <c r="G64" s="33"/>
      <c r="H64" s="33"/>
      <c r="I64" s="34"/>
      <c r="K64" s="43"/>
    </row>
    <row r="65" ht="15.75" customHeight="1">
      <c r="A65" s="41" t="s">
        <v>109</v>
      </c>
      <c r="B65" s="42">
        <v>3322.0</v>
      </c>
      <c r="C65" s="42">
        <v>9274.0</v>
      </c>
      <c r="D65" s="42">
        <v>10709.0</v>
      </c>
      <c r="E65" s="42">
        <v>10839.0</v>
      </c>
      <c r="F65" s="42">
        <v>13081.0</v>
      </c>
      <c r="G65" s="42">
        <v>11930.0</v>
      </c>
      <c r="H65" s="42">
        <v>12066.0</v>
      </c>
      <c r="I65" s="42">
        <v>71221.0</v>
      </c>
      <c r="K65" s="43">
        <f t="shared" ref="K65:K67" si="15">((G65+H65)/I65)</f>
        <v>0.3369230985</v>
      </c>
    </row>
    <row r="66" ht="15.75" customHeight="1">
      <c r="A66" s="41" t="s">
        <v>110</v>
      </c>
      <c r="B66" s="42">
        <v>1556.0</v>
      </c>
      <c r="C66" s="42">
        <v>5927.0</v>
      </c>
      <c r="D66" s="42">
        <v>7645.0</v>
      </c>
      <c r="E66" s="42">
        <v>5915.0</v>
      </c>
      <c r="F66" s="42">
        <v>6336.0</v>
      </c>
      <c r="G66" s="42">
        <v>4214.0</v>
      </c>
      <c r="H66" s="42">
        <v>2785.0</v>
      </c>
      <c r="I66" s="42">
        <v>34379.0</v>
      </c>
      <c r="K66" s="43">
        <f t="shared" si="15"/>
        <v>0.203583583</v>
      </c>
    </row>
    <row r="67" ht="15.75" customHeight="1">
      <c r="A67" s="41" t="s">
        <v>111</v>
      </c>
      <c r="B67" s="42">
        <v>1766.0</v>
      </c>
      <c r="C67" s="42">
        <v>3347.0</v>
      </c>
      <c r="D67" s="42">
        <v>3064.0</v>
      </c>
      <c r="E67" s="42">
        <v>4924.0</v>
      </c>
      <c r="F67" s="42">
        <v>6744.0</v>
      </c>
      <c r="G67" s="42">
        <v>7715.0</v>
      </c>
      <c r="H67" s="42">
        <v>9281.0</v>
      </c>
      <c r="I67" s="42">
        <v>36842.0</v>
      </c>
      <c r="K67" s="43">
        <f t="shared" si="15"/>
        <v>0.4613213181</v>
      </c>
    </row>
    <row r="68" ht="15.75" customHeight="1">
      <c r="A68" s="40" t="s">
        <v>58</v>
      </c>
      <c r="B68" s="33"/>
      <c r="C68" s="33"/>
      <c r="D68" s="33"/>
      <c r="E68" s="33"/>
      <c r="F68" s="33"/>
      <c r="G68" s="33"/>
      <c r="H68" s="33"/>
      <c r="I68" s="34"/>
      <c r="K68" s="43"/>
    </row>
    <row r="69" ht="15.75" customHeight="1">
      <c r="A69" s="41" t="s">
        <v>109</v>
      </c>
      <c r="B69" s="42">
        <v>5097.0</v>
      </c>
      <c r="C69" s="42">
        <v>6652.0</v>
      </c>
      <c r="D69" s="42">
        <v>9043.0</v>
      </c>
      <c r="E69" s="42">
        <v>9774.0</v>
      </c>
      <c r="F69" s="42">
        <v>11975.0</v>
      </c>
      <c r="G69" s="42">
        <v>9702.0</v>
      </c>
      <c r="H69" s="42">
        <v>11880.0</v>
      </c>
      <c r="I69" s="42">
        <v>64124.0</v>
      </c>
      <c r="K69" s="43">
        <f t="shared" ref="K69:K71" si="16">((G69+H69)/I69)</f>
        <v>0.3365666521</v>
      </c>
    </row>
    <row r="70" ht="15.75" customHeight="1">
      <c r="A70" s="41" t="s">
        <v>110</v>
      </c>
      <c r="B70" s="42">
        <v>2501.0</v>
      </c>
      <c r="C70" s="42">
        <v>4349.0</v>
      </c>
      <c r="D70" s="42">
        <v>6189.0</v>
      </c>
      <c r="E70" s="42">
        <v>6645.0</v>
      </c>
      <c r="F70" s="42">
        <v>5375.0</v>
      </c>
      <c r="G70" s="42">
        <v>3685.0</v>
      </c>
      <c r="H70" s="42">
        <v>2946.0</v>
      </c>
      <c r="I70" s="42">
        <v>31690.0</v>
      </c>
      <c r="K70" s="43">
        <f t="shared" si="16"/>
        <v>0.2092458189</v>
      </c>
    </row>
    <row r="71" ht="15.75" customHeight="1">
      <c r="A71" s="41" t="s">
        <v>111</v>
      </c>
      <c r="B71" s="42">
        <v>2596.0</v>
      </c>
      <c r="C71" s="42">
        <v>2303.0</v>
      </c>
      <c r="D71" s="42">
        <v>2854.0</v>
      </c>
      <c r="E71" s="42">
        <v>3129.0</v>
      </c>
      <c r="F71" s="42">
        <v>6600.0</v>
      </c>
      <c r="G71" s="42">
        <v>6016.0</v>
      </c>
      <c r="H71" s="42">
        <v>8934.0</v>
      </c>
      <c r="I71" s="42">
        <v>32434.0</v>
      </c>
      <c r="K71" s="43">
        <f t="shared" si="16"/>
        <v>0.4609360548</v>
      </c>
    </row>
    <row r="72" ht="15.75" customHeight="1">
      <c r="A72" s="40" t="s">
        <v>39</v>
      </c>
      <c r="B72" s="33"/>
      <c r="C72" s="33"/>
      <c r="D72" s="33"/>
      <c r="E72" s="33"/>
      <c r="F72" s="33"/>
      <c r="G72" s="33"/>
      <c r="H72" s="33"/>
      <c r="I72" s="34"/>
      <c r="K72" s="43"/>
    </row>
    <row r="73" ht="15.75" customHeight="1">
      <c r="A73" s="41" t="s">
        <v>109</v>
      </c>
      <c r="B73" s="42">
        <v>3207.0</v>
      </c>
      <c r="C73" s="42">
        <v>6530.0</v>
      </c>
      <c r="D73" s="42">
        <v>6706.0</v>
      </c>
      <c r="E73" s="42">
        <v>6997.0</v>
      </c>
      <c r="F73" s="42">
        <v>7016.0</v>
      </c>
      <c r="G73" s="42">
        <v>9358.0</v>
      </c>
      <c r="H73" s="42">
        <v>11484.0</v>
      </c>
      <c r="I73" s="42">
        <v>51299.0</v>
      </c>
      <c r="K73" s="43">
        <f t="shared" ref="K73:K75" si="17">((G73+H73)/I73)</f>
        <v>0.4062847229</v>
      </c>
    </row>
    <row r="74" ht="15.75" customHeight="1">
      <c r="A74" s="41" t="s">
        <v>110</v>
      </c>
      <c r="B74" s="42">
        <v>2874.0</v>
      </c>
      <c r="C74" s="42">
        <v>4739.0</v>
      </c>
      <c r="D74" s="42">
        <v>4577.0</v>
      </c>
      <c r="E74" s="42">
        <v>4347.0</v>
      </c>
      <c r="F74" s="42">
        <v>2702.0</v>
      </c>
      <c r="G74" s="42">
        <v>2591.0</v>
      </c>
      <c r="H74" s="42">
        <v>2796.0</v>
      </c>
      <c r="I74" s="42">
        <v>24626.0</v>
      </c>
      <c r="K74" s="43">
        <f t="shared" si="17"/>
        <v>0.218752538</v>
      </c>
    </row>
    <row r="75" ht="15.75" customHeight="1">
      <c r="A75" s="41" t="s">
        <v>111</v>
      </c>
      <c r="B75" s="42">
        <v>333.0</v>
      </c>
      <c r="C75" s="42">
        <v>1791.0</v>
      </c>
      <c r="D75" s="42">
        <v>2129.0</v>
      </c>
      <c r="E75" s="42">
        <v>2651.0</v>
      </c>
      <c r="F75" s="42">
        <v>4314.0</v>
      </c>
      <c r="G75" s="42">
        <v>6768.0</v>
      </c>
      <c r="H75" s="42">
        <v>8688.0</v>
      </c>
      <c r="I75" s="42">
        <v>26673.0</v>
      </c>
      <c r="K75" s="43">
        <f t="shared" si="17"/>
        <v>0.5794623777</v>
      </c>
    </row>
    <row r="76" ht="15.75" customHeight="1">
      <c r="A76" s="40" t="s">
        <v>31</v>
      </c>
      <c r="B76" s="33"/>
      <c r="C76" s="33"/>
      <c r="D76" s="33"/>
      <c r="E76" s="33"/>
      <c r="F76" s="33"/>
      <c r="G76" s="33"/>
      <c r="H76" s="33"/>
      <c r="I76" s="34"/>
      <c r="K76" s="43"/>
    </row>
    <row r="77" ht="15.75" customHeight="1">
      <c r="A77" s="41" t="s">
        <v>109</v>
      </c>
      <c r="B77" s="42">
        <v>5477.0</v>
      </c>
      <c r="C77" s="42">
        <v>10955.0</v>
      </c>
      <c r="D77" s="42">
        <v>9944.0</v>
      </c>
      <c r="E77" s="42">
        <v>10673.0</v>
      </c>
      <c r="F77" s="42">
        <v>11230.0</v>
      </c>
      <c r="G77" s="42">
        <v>13580.0</v>
      </c>
      <c r="H77" s="42">
        <v>17098.0</v>
      </c>
      <c r="I77" s="42">
        <v>78958.0</v>
      </c>
      <c r="K77" s="43">
        <f t="shared" ref="K77:K79" si="18">((G77+H77)/I77)</f>
        <v>0.3885356772</v>
      </c>
    </row>
    <row r="78" ht="15.75" customHeight="1">
      <c r="A78" s="41" t="s">
        <v>110</v>
      </c>
      <c r="B78" s="42">
        <v>4172.0</v>
      </c>
      <c r="C78" s="42">
        <v>7956.0</v>
      </c>
      <c r="D78" s="42">
        <v>6831.0</v>
      </c>
      <c r="E78" s="42">
        <v>5440.0</v>
      </c>
      <c r="F78" s="42">
        <v>5599.0</v>
      </c>
      <c r="G78" s="42">
        <v>3435.0</v>
      </c>
      <c r="H78" s="42">
        <v>3939.0</v>
      </c>
      <c r="I78" s="42">
        <v>37372.0</v>
      </c>
      <c r="K78" s="43">
        <f t="shared" si="18"/>
        <v>0.1973134967</v>
      </c>
    </row>
    <row r="79" ht="15.75" customHeight="1">
      <c r="A79" s="41" t="s">
        <v>111</v>
      </c>
      <c r="B79" s="42">
        <v>1305.0</v>
      </c>
      <c r="C79" s="42">
        <v>2999.0</v>
      </c>
      <c r="D79" s="42">
        <v>3113.0</v>
      </c>
      <c r="E79" s="42">
        <v>5234.0</v>
      </c>
      <c r="F79" s="42">
        <v>5631.0</v>
      </c>
      <c r="G79" s="42">
        <v>10144.0</v>
      </c>
      <c r="H79" s="42">
        <v>13160.0</v>
      </c>
      <c r="I79" s="42">
        <v>41586.0</v>
      </c>
      <c r="K79" s="43">
        <f t="shared" si="18"/>
        <v>0.5603808974</v>
      </c>
    </row>
    <row r="80" ht="15.75" customHeight="1">
      <c r="A80" s="40" t="s">
        <v>88</v>
      </c>
      <c r="B80" s="33"/>
      <c r="C80" s="33"/>
      <c r="D80" s="33"/>
      <c r="E80" s="33"/>
      <c r="F80" s="33"/>
      <c r="G80" s="33"/>
      <c r="H80" s="33"/>
      <c r="I80" s="34"/>
      <c r="K80" s="43"/>
    </row>
    <row r="81" ht="15.75" customHeight="1">
      <c r="A81" s="41" t="s">
        <v>109</v>
      </c>
      <c r="B81" s="42">
        <v>6898.0</v>
      </c>
      <c r="C81" s="42">
        <v>13645.0</v>
      </c>
      <c r="D81" s="42">
        <v>18359.0</v>
      </c>
      <c r="E81" s="42">
        <v>18023.0</v>
      </c>
      <c r="F81" s="42">
        <v>23744.0</v>
      </c>
      <c r="G81" s="42">
        <v>20816.0</v>
      </c>
      <c r="H81" s="42">
        <v>22606.0</v>
      </c>
      <c r="I81" s="42">
        <v>124091.0</v>
      </c>
      <c r="K81" s="43">
        <f t="shared" ref="K81:K83" si="19">((G81+H81)/I81)</f>
        <v>0.3499206228</v>
      </c>
    </row>
    <row r="82" ht="15.75" customHeight="1">
      <c r="A82" s="41" t="s">
        <v>110</v>
      </c>
      <c r="B82" s="42">
        <v>3539.0</v>
      </c>
      <c r="C82" s="42">
        <v>8006.0</v>
      </c>
      <c r="D82" s="42">
        <v>9792.0</v>
      </c>
      <c r="E82" s="42">
        <v>9670.0</v>
      </c>
      <c r="F82" s="42">
        <v>11349.0</v>
      </c>
      <c r="G82" s="42">
        <v>6597.0</v>
      </c>
      <c r="H82" s="42">
        <v>5483.0</v>
      </c>
      <c r="I82" s="42">
        <v>54437.0</v>
      </c>
      <c r="K82" s="43">
        <f t="shared" si="19"/>
        <v>0.2219078935</v>
      </c>
    </row>
    <row r="83" ht="15.75" customHeight="1">
      <c r="A83" s="41" t="s">
        <v>111</v>
      </c>
      <c r="B83" s="42">
        <v>3359.0</v>
      </c>
      <c r="C83" s="42">
        <v>5640.0</v>
      </c>
      <c r="D83" s="42">
        <v>8567.0</v>
      </c>
      <c r="E83" s="42">
        <v>8352.0</v>
      </c>
      <c r="F83" s="42">
        <v>12394.0</v>
      </c>
      <c r="G83" s="42">
        <v>14219.0</v>
      </c>
      <c r="H83" s="42">
        <v>17123.0</v>
      </c>
      <c r="I83" s="42">
        <v>69654.0</v>
      </c>
      <c r="K83" s="43">
        <f t="shared" si="19"/>
        <v>0.4499669796</v>
      </c>
    </row>
    <row r="84" ht="15.75" customHeight="1">
      <c r="A84" s="40" t="s">
        <v>42</v>
      </c>
      <c r="B84" s="33"/>
      <c r="C84" s="33"/>
      <c r="D84" s="33"/>
      <c r="E84" s="33"/>
      <c r="F84" s="33"/>
      <c r="G84" s="33"/>
      <c r="H84" s="33"/>
      <c r="I84" s="34"/>
      <c r="K84" s="43"/>
    </row>
    <row r="85" ht="15.75" customHeight="1">
      <c r="A85" s="41" t="s">
        <v>109</v>
      </c>
      <c r="B85" s="42">
        <v>1261.0</v>
      </c>
      <c r="C85" s="42">
        <v>2582.0</v>
      </c>
      <c r="D85" s="42">
        <v>4208.0</v>
      </c>
      <c r="E85" s="42">
        <v>2330.0</v>
      </c>
      <c r="F85" s="42">
        <v>3833.0</v>
      </c>
      <c r="G85" s="42">
        <v>3277.0</v>
      </c>
      <c r="H85" s="42">
        <v>3839.0</v>
      </c>
      <c r="I85" s="42">
        <v>21330.0</v>
      </c>
      <c r="K85" s="43">
        <f t="shared" ref="K85:K87" si="20">((G85+H85)/I85)</f>
        <v>0.3336146273</v>
      </c>
    </row>
    <row r="86" ht="15.75" customHeight="1">
      <c r="A86" s="41" t="s">
        <v>110</v>
      </c>
      <c r="B86" s="42">
        <v>896.0</v>
      </c>
      <c r="C86" s="42">
        <v>2032.0</v>
      </c>
      <c r="D86" s="42">
        <v>3177.0</v>
      </c>
      <c r="E86" s="42">
        <v>1626.0</v>
      </c>
      <c r="F86" s="42">
        <v>2220.0</v>
      </c>
      <c r="G86" s="42">
        <v>990.0</v>
      </c>
      <c r="H86" s="42">
        <v>1216.0</v>
      </c>
      <c r="I86" s="42">
        <v>12157.0</v>
      </c>
      <c r="K86" s="43">
        <f t="shared" si="20"/>
        <v>0.1814592416</v>
      </c>
    </row>
    <row r="87" ht="15.75" customHeight="1">
      <c r="A87" s="41" t="s">
        <v>111</v>
      </c>
      <c r="B87" s="42">
        <v>365.0</v>
      </c>
      <c r="C87" s="42">
        <v>550.0</v>
      </c>
      <c r="D87" s="42">
        <v>1031.0</v>
      </c>
      <c r="E87" s="42">
        <v>705.0</v>
      </c>
      <c r="F87" s="42">
        <v>1613.0</v>
      </c>
      <c r="G87" s="42">
        <v>2286.0</v>
      </c>
      <c r="H87" s="42">
        <v>2623.0</v>
      </c>
      <c r="I87" s="42">
        <v>9173.0</v>
      </c>
      <c r="K87" s="43">
        <f t="shared" si="20"/>
        <v>0.5351575275</v>
      </c>
    </row>
    <row r="88" ht="15.75" customHeight="1">
      <c r="A88" s="40" t="s">
        <v>69</v>
      </c>
      <c r="B88" s="33"/>
      <c r="C88" s="33"/>
      <c r="D88" s="33"/>
      <c r="E88" s="33"/>
      <c r="F88" s="33"/>
      <c r="G88" s="33"/>
      <c r="H88" s="33"/>
      <c r="I88" s="34"/>
      <c r="K88" s="43"/>
    </row>
    <row r="89" ht="15.75" customHeight="1">
      <c r="A89" s="41" t="s">
        <v>109</v>
      </c>
      <c r="B89" s="42">
        <v>2333.0</v>
      </c>
      <c r="C89" s="42">
        <v>8020.0</v>
      </c>
      <c r="D89" s="42">
        <v>13668.0</v>
      </c>
      <c r="E89" s="42">
        <v>10652.0</v>
      </c>
      <c r="F89" s="42">
        <v>10235.0</v>
      </c>
      <c r="G89" s="42">
        <v>14948.0</v>
      </c>
      <c r="H89" s="42">
        <v>14926.0</v>
      </c>
      <c r="I89" s="42">
        <v>74782.0</v>
      </c>
      <c r="K89" s="43">
        <f t="shared" ref="K89:K91" si="21">((G89+H89)/I89)</f>
        <v>0.3994811586</v>
      </c>
    </row>
    <row r="90" ht="15.75" customHeight="1">
      <c r="A90" s="41" t="s">
        <v>110</v>
      </c>
      <c r="B90" s="42">
        <v>1298.0</v>
      </c>
      <c r="C90" s="42">
        <v>4870.0</v>
      </c>
      <c r="D90" s="42">
        <v>8938.0</v>
      </c>
      <c r="E90" s="42">
        <v>5458.0</v>
      </c>
      <c r="F90" s="42">
        <v>3860.0</v>
      </c>
      <c r="G90" s="42">
        <v>3961.0</v>
      </c>
      <c r="H90" s="42">
        <v>2560.0</v>
      </c>
      <c r="I90" s="42">
        <v>30945.0</v>
      </c>
      <c r="K90" s="43">
        <f t="shared" si="21"/>
        <v>0.2107287122</v>
      </c>
    </row>
    <row r="91" ht="15.75" customHeight="1">
      <c r="A91" s="41" t="s">
        <v>111</v>
      </c>
      <c r="B91" s="42">
        <v>1035.0</v>
      </c>
      <c r="C91" s="42">
        <v>3150.0</v>
      </c>
      <c r="D91" s="42">
        <v>4730.0</v>
      </c>
      <c r="E91" s="42">
        <v>5194.0</v>
      </c>
      <c r="F91" s="42">
        <v>6375.0</v>
      </c>
      <c r="G91" s="42">
        <v>10986.0</v>
      </c>
      <c r="H91" s="42">
        <v>12366.0</v>
      </c>
      <c r="I91" s="42">
        <v>43837.0</v>
      </c>
      <c r="K91" s="43">
        <f t="shared" si="21"/>
        <v>0.5327006866</v>
      </c>
    </row>
    <row r="92" ht="15.75" customHeight="1">
      <c r="A92" s="40" t="s">
        <v>53</v>
      </c>
      <c r="B92" s="33"/>
      <c r="C92" s="33"/>
      <c r="D92" s="33"/>
      <c r="E92" s="33"/>
      <c r="F92" s="33"/>
      <c r="G92" s="33"/>
      <c r="H92" s="33"/>
      <c r="I92" s="34"/>
      <c r="K92" s="43"/>
    </row>
    <row r="93" ht="15.75" customHeight="1">
      <c r="A93" s="41" t="s">
        <v>109</v>
      </c>
      <c r="B93" s="42">
        <v>2365.0</v>
      </c>
      <c r="C93" s="42">
        <v>5818.0</v>
      </c>
      <c r="D93" s="42">
        <v>13758.0</v>
      </c>
      <c r="E93" s="42">
        <v>12906.0</v>
      </c>
      <c r="F93" s="42">
        <v>16022.0</v>
      </c>
      <c r="G93" s="42">
        <v>11755.0</v>
      </c>
      <c r="H93" s="42">
        <v>12323.0</v>
      </c>
      <c r="I93" s="42">
        <v>74947.0</v>
      </c>
      <c r="K93" s="43">
        <f t="shared" ref="K93:K95" si="22">((G93+H93)/I93)</f>
        <v>0.3212670287</v>
      </c>
    </row>
    <row r="94" ht="15.75" customHeight="1">
      <c r="A94" s="41" t="s">
        <v>110</v>
      </c>
      <c r="B94" s="42">
        <v>1191.0</v>
      </c>
      <c r="C94" s="42">
        <v>2417.0</v>
      </c>
      <c r="D94" s="42">
        <v>7295.0</v>
      </c>
      <c r="E94" s="42">
        <v>8735.0</v>
      </c>
      <c r="F94" s="42">
        <v>7570.0</v>
      </c>
      <c r="G94" s="42">
        <v>3526.0</v>
      </c>
      <c r="H94" s="42">
        <v>3605.0</v>
      </c>
      <c r="I94" s="42">
        <v>34339.0</v>
      </c>
      <c r="K94" s="43">
        <f t="shared" si="22"/>
        <v>0.2076647544</v>
      </c>
    </row>
    <row r="95" ht="15.75" customHeight="1">
      <c r="A95" s="41" t="s">
        <v>111</v>
      </c>
      <c r="B95" s="44" t="s">
        <v>112</v>
      </c>
      <c r="C95" s="42">
        <v>3400.0</v>
      </c>
      <c r="D95" s="42">
        <v>6464.0</v>
      </c>
      <c r="E95" s="42">
        <v>4172.0</v>
      </c>
      <c r="F95" s="42">
        <v>8452.0</v>
      </c>
      <c r="G95" s="42">
        <v>8229.0</v>
      </c>
      <c r="H95" s="42">
        <v>8718.0</v>
      </c>
      <c r="I95" s="42">
        <v>40608.0</v>
      </c>
      <c r="K95" s="43">
        <f t="shared" si="22"/>
        <v>0.4173315603</v>
      </c>
    </row>
    <row r="96" ht="15.75" customHeight="1">
      <c r="A96" s="40" t="s">
        <v>30</v>
      </c>
      <c r="B96" s="33"/>
      <c r="C96" s="33"/>
      <c r="D96" s="33"/>
      <c r="E96" s="33"/>
      <c r="F96" s="33"/>
      <c r="G96" s="33"/>
      <c r="H96" s="33"/>
      <c r="I96" s="34"/>
      <c r="K96" s="43"/>
    </row>
    <row r="97" ht="15.75" customHeight="1">
      <c r="A97" s="41" t="s">
        <v>109</v>
      </c>
      <c r="B97" s="42">
        <v>7264.0</v>
      </c>
      <c r="C97" s="42">
        <v>12816.0</v>
      </c>
      <c r="D97" s="42">
        <v>15829.0</v>
      </c>
      <c r="E97" s="42">
        <v>15575.0</v>
      </c>
      <c r="F97" s="42">
        <v>19883.0</v>
      </c>
      <c r="G97" s="42">
        <v>16850.0</v>
      </c>
      <c r="H97" s="42">
        <v>18029.0</v>
      </c>
      <c r="I97" s="42">
        <v>106246.0</v>
      </c>
      <c r="K97" s="43">
        <f t="shared" ref="K97:K99" si="23">((G97+H97)/I97)</f>
        <v>0.3282853002</v>
      </c>
    </row>
    <row r="98" ht="15.75" customHeight="1">
      <c r="A98" s="41" t="s">
        <v>110</v>
      </c>
      <c r="B98" s="42">
        <v>5193.0</v>
      </c>
      <c r="C98" s="42">
        <v>8563.0</v>
      </c>
      <c r="D98" s="42">
        <v>10502.0</v>
      </c>
      <c r="E98" s="42">
        <v>9694.0</v>
      </c>
      <c r="F98" s="42">
        <v>10163.0</v>
      </c>
      <c r="G98" s="42">
        <v>4563.0</v>
      </c>
      <c r="H98" s="42">
        <v>3434.0</v>
      </c>
      <c r="I98" s="42">
        <v>52112.0</v>
      </c>
      <c r="K98" s="43">
        <f t="shared" si="23"/>
        <v>0.1534579368</v>
      </c>
    </row>
    <row r="99" ht="15.75" customHeight="1">
      <c r="A99" s="41" t="s">
        <v>111</v>
      </c>
      <c r="B99" s="42">
        <v>2071.0</v>
      </c>
      <c r="C99" s="42">
        <v>4253.0</v>
      </c>
      <c r="D99" s="42">
        <v>5327.0</v>
      </c>
      <c r="E99" s="42">
        <v>5881.0</v>
      </c>
      <c r="F99" s="42">
        <v>9720.0</v>
      </c>
      <c r="G99" s="42">
        <v>12287.0</v>
      </c>
      <c r="H99" s="42">
        <v>14595.0</v>
      </c>
      <c r="I99" s="42">
        <v>54134.0</v>
      </c>
      <c r="K99" s="43">
        <f t="shared" si="23"/>
        <v>0.4965825544</v>
      </c>
    </row>
    <row r="100" ht="15.75" customHeight="1">
      <c r="A100" s="40" t="s">
        <v>38</v>
      </c>
      <c r="B100" s="33"/>
      <c r="C100" s="33"/>
      <c r="D100" s="33"/>
      <c r="E100" s="33"/>
      <c r="F100" s="33"/>
      <c r="G100" s="33"/>
      <c r="H100" s="33"/>
      <c r="I100" s="34"/>
      <c r="K100" s="43"/>
    </row>
    <row r="101" ht="15.75" customHeight="1">
      <c r="A101" s="41" t="s">
        <v>109</v>
      </c>
      <c r="B101" s="42">
        <v>1047.0</v>
      </c>
      <c r="C101" s="42">
        <v>5112.0</v>
      </c>
      <c r="D101" s="42">
        <v>4984.0</v>
      </c>
      <c r="E101" s="42">
        <v>5113.0</v>
      </c>
      <c r="F101" s="42">
        <v>4300.0</v>
      </c>
      <c r="G101" s="42">
        <v>2644.0</v>
      </c>
      <c r="H101" s="42">
        <v>3393.0</v>
      </c>
      <c r="I101" s="42">
        <v>26593.0</v>
      </c>
      <c r="K101" s="43">
        <f t="shared" ref="K101:K103" si="24">((G101+H101)/I101)</f>
        <v>0.2270146279</v>
      </c>
    </row>
    <row r="102" ht="15.75" customHeight="1">
      <c r="A102" s="41" t="s">
        <v>110</v>
      </c>
      <c r="B102" s="42">
        <v>753.0</v>
      </c>
      <c r="C102" s="42">
        <v>3432.0</v>
      </c>
      <c r="D102" s="42">
        <v>3703.0</v>
      </c>
      <c r="E102" s="42">
        <v>3515.0</v>
      </c>
      <c r="F102" s="42">
        <v>2772.0</v>
      </c>
      <c r="G102" s="42">
        <v>943.0</v>
      </c>
      <c r="H102" s="42">
        <v>1265.0</v>
      </c>
      <c r="I102" s="42">
        <v>16382.0</v>
      </c>
      <c r="K102" s="43">
        <f t="shared" si="24"/>
        <v>0.1347820779</v>
      </c>
    </row>
    <row r="103" ht="15.75" customHeight="1">
      <c r="A103" s="41" t="s">
        <v>111</v>
      </c>
      <c r="B103" s="42">
        <v>294.0</v>
      </c>
      <c r="C103" s="42">
        <v>1681.0</v>
      </c>
      <c r="D103" s="42">
        <v>1281.0</v>
      </c>
      <c r="E103" s="42">
        <v>1598.0</v>
      </c>
      <c r="F103" s="42">
        <v>1529.0</v>
      </c>
      <c r="G103" s="42">
        <v>1701.0</v>
      </c>
      <c r="H103" s="42">
        <v>2127.0</v>
      </c>
      <c r="I103" s="42">
        <v>10211.0</v>
      </c>
      <c r="K103" s="43">
        <f t="shared" si="24"/>
        <v>0.3748898247</v>
      </c>
    </row>
    <row r="104" ht="15.75" customHeight="1">
      <c r="A104" s="40" t="s">
        <v>27</v>
      </c>
      <c r="B104" s="33"/>
      <c r="C104" s="33"/>
      <c r="D104" s="33"/>
      <c r="E104" s="33"/>
      <c r="F104" s="33"/>
      <c r="G104" s="33"/>
      <c r="H104" s="33"/>
      <c r="I104" s="34"/>
      <c r="K104" s="43"/>
    </row>
    <row r="105" ht="15.75" customHeight="1">
      <c r="A105" s="41" t="s">
        <v>109</v>
      </c>
      <c r="B105" s="42">
        <v>3123.0</v>
      </c>
      <c r="C105" s="42">
        <v>9031.0</v>
      </c>
      <c r="D105" s="42">
        <v>8221.0</v>
      </c>
      <c r="E105" s="42">
        <v>6758.0</v>
      </c>
      <c r="F105" s="42">
        <v>7189.0</v>
      </c>
      <c r="G105" s="42">
        <v>7913.0</v>
      </c>
      <c r="H105" s="42">
        <v>7383.0</v>
      </c>
      <c r="I105" s="42">
        <v>49618.0</v>
      </c>
      <c r="K105" s="43">
        <f t="shared" ref="K105:K107" si="25">((G105+H105)/I105)</f>
        <v>0.3082752227</v>
      </c>
    </row>
    <row r="106" ht="15.75" customHeight="1">
      <c r="A106" s="41" t="s">
        <v>110</v>
      </c>
      <c r="B106" s="42">
        <v>2036.0</v>
      </c>
      <c r="C106" s="42">
        <v>4628.0</v>
      </c>
      <c r="D106" s="42">
        <v>5330.0</v>
      </c>
      <c r="E106" s="42">
        <v>3362.0</v>
      </c>
      <c r="F106" s="42">
        <v>3009.0</v>
      </c>
      <c r="G106" s="42">
        <v>2533.0</v>
      </c>
      <c r="H106" s="42">
        <v>1782.0</v>
      </c>
      <c r="I106" s="42">
        <v>22679.0</v>
      </c>
      <c r="K106" s="43">
        <f t="shared" si="25"/>
        <v>0.190264121</v>
      </c>
    </row>
    <row r="107" ht="15.75" customHeight="1">
      <c r="A107" s="41" t="s">
        <v>111</v>
      </c>
      <c r="B107" s="42">
        <v>1087.0</v>
      </c>
      <c r="C107" s="42">
        <v>4403.0</v>
      </c>
      <c r="D107" s="42">
        <v>2891.0</v>
      </c>
      <c r="E107" s="42">
        <v>3396.0</v>
      </c>
      <c r="F107" s="42">
        <v>4180.0</v>
      </c>
      <c r="G107" s="42">
        <v>5380.0</v>
      </c>
      <c r="H107" s="42">
        <v>5601.0</v>
      </c>
      <c r="I107" s="42">
        <v>26939.0</v>
      </c>
      <c r="K107" s="43">
        <f t="shared" si="25"/>
        <v>0.4076246334</v>
      </c>
    </row>
    <row r="108" ht="15.75" customHeight="1">
      <c r="A108" s="40" t="s">
        <v>34</v>
      </c>
      <c r="B108" s="33"/>
      <c r="C108" s="33"/>
      <c r="D108" s="33"/>
      <c r="E108" s="33"/>
      <c r="F108" s="33"/>
      <c r="G108" s="33"/>
      <c r="H108" s="33"/>
      <c r="I108" s="34"/>
      <c r="K108" s="43"/>
    </row>
    <row r="109" ht="15.75" customHeight="1">
      <c r="A109" s="41" t="s">
        <v>109</v>
      </c>
      <c r="B109" s="42">
        <v>1401.0</v>
      </c>
      <c r="C109" s="42">
        <v>2800.0</v>
      </c>
      <c r="D109" s="42">
        <v>3628.0</v>
      </c>
      <c r="E109" s="42">
        <v>4141.0</v>
      </c>
      <c r="F109" s="42">
        <v>4013.0</v>
      </c>
      <c r="G109" s="42">
        <v>4680.0</v>
      </c>
      <c r="H109" s="42">
        <v>4482.0</v>
      </c>
      <c r="I109" s="42">
        <v>25145.0</v>
      </c>
      <c r="K109" s="43">
        <f t="shared" ref="K109:K111" si="26">((G109+H109)/I109)</f>
        <v>0.3643666733</v>
      </c>
    </row>
    <row r="110" ht="15.75" customHeight="1">
      <c r="A110" s="41" t="s">
        <v>110</v>
      </c>
      <c r="B110" s="42">
        <v>1214.0</v>
      </c>
      <c r="C110" s="42">
        <v>1803.0</v>
      </c>
      <c r="D110" s="42">
        <v>2865.0</v>
      </c>
      <c r="E110" s="42">
        <v>3031.0</v>
      </c>
      <c r="F110" s="42">
        <v>1992.0</v>
      </c>
      <c r="G110" s="42">
        <v>1926.0</v>
      </c>
      <c r="H110" s="42">
        <v>1081.0</v>
      </c>
      <c r="I110" s="42">
        <v>13912.0</v>
      </c>
      <c r="K110" s="43">
        <f t="shared" si="26"/>
        <v>0.2161443358</v>
      </c>
    </row>
    <row r="111" ht="15.75" customHeight="1">
      <c r="A111" s="41" t="s">
        <v>111</v>
      </c>
      <c r="B111" s="44" t="s">
        <v>112</v>
      </c>
      <c r="C111" s="42">
        <v>998.0</v>
      </c>
      <c r="D111" s="42">
        <v>763.0</v>
      </c>
      <c r="E111" s="42">
        <v>1110.0</v>
      </c>
      <c r="F111" s="42">
        <v>2021.0</v>
      </c>
      <c r="G111" s="42">
        <v>2753.0</v>
      </c>
      <c r="H111" s="42">
        <v>3401.0</v>
      </c>
      <c r="I111" s="42">
        <v>11233.0</v>
      </c>
      <c r="K111" s="43">
        <f t="shared" si="26"/>
        <v>0.5478500846</v>
      </c>
    </row>
    <row r="112" ht="15.75" customHeight="1">
      <c r="A112" s="40" t="s">
        <v>25</v>
      </c>
      <c r="B112" s="33"/>
      <c r="C112" s="33"/>
      <c r="D112" s="33"/>
      <c r="E112" s="33"/>
      <c r="F112" s="33"/>
      <c r="G112" s="33"/>
      <c r="H112" s="33"/>
      <c r="I112" s="34"/>
      <c r="K112" s="43"/>
    </row>
    <row r="113" ht="15.75" customHeight="1">
      <c r="A113" s="41" t="s">
        <v>109</v>
      </c>
      <c r="B113" s="42">
        <v>2187.0</v>
      </c>
      <c r="C113" s="42">
        <v>9056.0</v>
      </c>
      <c r="D113" s="42">
        <v>7230.0</v>
      </c>
      <c r="E113" s="42">
        <v>7818.0</v>
      </c>
      <c r="F113" s="42">
        <v>9404.0</v>
      </c>
      <c r="G113" s="42">
        <v>12236.0</v>
      </c>
      <c r="H113" s="42">
        <v>15345.0</v>
      </c>
      <c r="I113" s="42">
        <v>63277.0</v>
      </c>
      <c r="K113" s="43">
        <f t="shared" ref="K113:K115" si="27">((G113+H113)/I113)</f>
        <v>0.435877175</v>
      </c>
    </row>
    <row r="114" ht="15.75" customHeight="1">
      <c r="A114" s="41" t="s">
        <v>110</v>
      </c>
      <c r="B114" s="42">
        <v>1118.0</v>
      </c>
      <c r="C114" s="42">
        <v>6725.0</v>
      </c>
      <c r="D114" s="42">
        <v>5530.0</v>
      </c>
      <c r="E114" s="42">
        <v>4501.0</v>
      </c>
      <c r="F114" s="42">
        <v>4998.0</v>
      </c>
      <c r="G114" s="42">
        <v>4085.0</v>
      </c>
      <c r="H114" s="42">
        <v>3428.0</v>
      </c>
      <c r="I114" s="42">
        <v>30384.0</v>
      </c>
      <c r="K114" s="43">
        <f t="shared" si="27"/>
        <v>0.2472682991</v>
      </c>
    </row>
    <row r="115" ht="15.75" customHeight="1">
      <c r="A115" s="41" t="s">
        <v>111</v>
      </c>
      <c r="B115" s="42">
        <v>1070.0</v>
      </c>
      <c r="C115" s="42">
        <v>2331.0</v>
      </c>
      <c r="D115" s="42">
        <v>1700.0</v>
      </c>
      <c r="E115" s="42">
        <v>3318.0</v>
      </c>
      <c r="F115" s="42">
        <v>4406.0</v>
      </c>
      <c r="G115" s="42">
        <v>8151.0</v>
      </c>
      <c r="H115" s="42">
        <v>11917.0</v>
      </c>
      <c r="I115" s="42">
        <v>32893.0</v>
      </c>
      <c r="K115" s="43">
        <f t="shared" si="27"/>
        <v>0.6100994132</v>
      </c>
    </row>
    <row r="116" ht="15.75" customHeight="1">
      <c r="A116" s="40" t="s">
        <v>51</v>
      </c>
      <c r="B116" s="33"/>
      <c r="C116" s="33"/>
      <c r="D116" s="33"/>
      <c r="E116" s="33"/>
      <c r="F116" s="33"/>
      <c r="G116" s="33"/>
      <c r="H116" s="33"/>
      <c r="I116" s="34"/>
      <c r="K116" s="43"/>
    </row>
    <row r="117" ht="15.75" customHeight="1">
      <c r="A117" s="41" t="s">
        <v>109</v>
      </c>
      <c r="B117" s="42">
        <v>2313.0</v>
      </c>
      <c r="C117" s="42">
        <v>8245.0</v>
      </c>
      <c r="D117" s="42">
        <v>7401.0</v>
      </c>
      <c r="E117" s="42">
        <v>9746.0</v>
      </c>
      <c r="F117" s="42">
        <v>10526.0</v>
      </c>
      <c r="G117" s="42">
        <v>12340.0</v>
      </c>
      <c r="H117" s="42">
        <v>13228.0</v>
      </c>
      <c r="I117" s="42">
        <v>63798.0</v>
      </c>
      <c r="K117" s="43">
        <f t="shared" ref="K117:K119" si="28">((G117+H117)/I117)</f>
        <v>0.4007649143</v>
      </c>
    </row>
    <row r="118" ht="15.75" customHeight="1">
      <c r="A118" s="41" t="s">
        <v>110</v>
      </c>
      <c r="B118" s="42">
        <v>1176.0</v>
      </c>
      <c r="C118" s="42">
        <v>3908.0</v>
      </c>
      <c r="D118" s="42">
        <v>4214.0</v>
      </c>
      <c r="E118" s="42">
        <v>5745.0</v>
      </c>
      <c r="F118" s="42">
        <v>5364.0</v>
      </c>
      <c r="G118" s="42">
        <v>4449.0</v>
      </c>
      <c r="H118" s="42">
        <v>2278.0</v>
      </c>
      <c r="I118" s="42">
        <v>27133.0</v>
      </c>
      <c r="K118" s="43">
        <f t="shared" si="28"/>
        <v>0.2479268787</v>
      </c>
    </row>
    <row r="119" ht="15.75" customHeight="1">
      <c r="A119" s="41" t="s">
        <v>111</v>
      </c>
      <c r="B119" s="42">
        <v>1137.0</v>
      </c>
      <c r="C119" s="42">
        <v>4337.0</v>
      </c>
      <c r="D119" s="42">
        <v>3187.0</v>
      </c>
      <c r="E119" s="42">
        <v>4001.0</v>
      </c>
      <c r="F119" s="42">
        <v>5162.0</v>
      </c>
      <c r="G119" s="42">
        <v>7891.0</v>
      </c>
      <c r="H119" s="42">
        <v>10950.0</v>
      </c>
      <c r="I119" s="42">
        <v>36665.0</v>
      </c>
      <c r="K119" s="43">
        <f t="shared" si="28"/>
        <v>0.5138688122</v>
      </c>
    </row>
    <row r="120" ht="15.75" customHeight="1">
      <c r="A120" s="40" t="s">
        <v>52</v>
      </c>
      <c r="B120" s="33"/>
      <c r="C120" s="33"/>
      <c r="D120" s="33"/>
      <c r="E120" s="33"/>
      <c r="F120" s="33"/>
      <c r="G120" s="33"/>
      <c r="H120" s="33"/>
      <c r="I120" s="34"/>
      <c r="K120" s="43"/>
    </row>
    <row r="121" ht="15.75" customHeight="1">
      <c r="A121" s="41" t="s">
        <v>109</v>
      </c>
      <c r="B121" s="42">
        <v>2405.0</v>
      </c>
      <c r="C121" s="42">
        <v>6742.0</v>
      </c>
      <c r="D121" s="42">
        <v>8907.0</v>
      </c>
      <c r="E121" s="42">
        <v>7300.0</v>
      </c>
      <c r="F121" s="42">
        <v>8444.0</v>
      </c>
      <c r="G121" s="42">
        <v>7796.0</v>
      </c>
      <c r="H121" s="42">
        <v>7525.0</v>
      </c>
      <c r="I121" s="42">
        <v>49119.0</v>
      </c>
      <c r="K121" s="43">
        <f t="shared" ref="K121:K123" si="29">((G121+H121)/I121)</f>
        <v>0.3119159592</v>
      </c>
    </row>
    <row r="122" ht="15.75" customHeight="1">
      <c r="A122" s="41" t="s">
        <v>110</v>
      </c>
      <c r="B122" s="42">
        <v>1611.0</v>
      </c>
      <c r="C122" s="42">
        <v>5048.0</v>
      </c>
      <c r="D122" s="42">
        <v>7553.0</v>
      </c>
      <c r="E122" s="42">
        <v>4762.0</v>
      </c>
      <c r="F122" s="42">
        <v>4093.0</v>
      </c>
      <c r="G122" s="42">
        <v>2921.0</v>
      </c>
      <c r="H122" s="42">
        <v>2121.0</v>
      </c>
      <c r="I122" s="42">
        <v>28109.0</v>
      </c>
      <c r="K122" s="43">
        <f t="shared" si="29"/>
        <v>0.1793731545</v>
      </c>
    </row>
    <row r="123" ht="15.75" customHeight="1">
      <c r="A123" s="41" t="s">
        <v>111</v>
      </c>
      <c r="B123" s="44" t="s">
        <v>112</v>
      </c>
      <c r="C123" s="42">
        <v>1694.0</v>
      </c>
      <c r="D123" s="42">
        <v>1354.0</v>
      </c>
      <c r="E123" s="42">
        <v>2538.0</v>
      </c>
      <c r="F123" s="42">
        <v>4351.0</v>
      </c>
      <c r="G123" s="42">
        <v>4875.0</v>
      </c>
      <c r="H123" s="42">
        <v>5405.0</v>
      </c>
      <c r="I123" s="42">
        <v>21010.0</v>
      </c>
      <c r="K123" s="43">
        <f t="shared" si="29"/>
        <v>0.4892908139</v>
      </c>
    </row>
    <row r="124" ht="15.75" customHeight="1">
      <c r="A124" s="40" t="s">
        <v>62</v>
      </c>
      <c r="B124" s="33"/>
      <c r="C124" s="33"/>
      <c r="D124" s="33"/>
      <c r="E124" s="33"/>
      <c r="F124" s="33"/>
      <c r="G124" s="33"/>
      <c r="H124" s="33"/>
      <c r="I124" s="34"/>
      <c r="K124" s="43"/>
    </row>
    <row r="125" ht="15.75" customHeight="1">
      <c r="A125" s="41" t="s">
        <v>109</v>
      </c>
      <c r="B125" s="42">
        <v>1624.0</v>
      </c>
      <c r="C125" s="42">
        <v>4631.0</v>
      </c>
      <c r="D125" s="42">
        <v>6134.0</v>
      </c>
      <c r="E125" s="42">
        <v>5089.0</v>
      </c>
      <c r="F125" s="42">
        <v>7924.0</v>
      </c>
      <c r="G125" s="42">
        <v>6775.0</v>
      </c>
      <c r="H125" s="42">
        <v>7693.0</v>
      </c>
      <c r="I125" s="42">
        <v>39870.0</v>
      </c>
      <c r="K125" s="43">
        <f t="shared" ref="K125:K127" si="30">((G125+H125)/I125)</f>
        <v>0.3628793579</v>
      </c>
    </row>
    <row r="126" ht="15.75" customHeight="1">
      <c r="A126" s="41" t="s">
        <v>110</v>
      </c>
      <c r="B126" s="42">
        <v>1220.0</v>
      </c>
      <c r="C126" s="42">
        <v>2301.0</v>
      </c>
      <c r="D126" s="42">
        <v>4247.0</v>
      </c>
      <c r="E126" s="42">
        <v>3221.0</v>
      </c>
      <c r="F126" s="42">
        <v>4028.0</v>
      </c>
      <c r="G126" s="42">
        <v>2964.0</v>
      </c>
      <c r="H126" s="42">
        <v>2194.0</v>
      </c>
      <c r="I126" s="42">
        <v>20176.0</v>
      </c>
      <c r="K126" s="43">
        <f t="shared" si="30"/>
        <v>0.2556502776</v>
      </c>
    </row>
    <row r="127" ht="15.75" customHeight="1">
      <c r="A127" s="41" t="s">
        <v>111</v>
      </c>
      <c r="B127" s="42">
        <v>404.0</v>
      </c>
      <c r="C127" s="42">
        <v>2330.0</v>
      </c>
      <c r="D127" s="42">
        <v>1887.0</v>
      </c>
      <c r="E127" s="42">
        <v>1868.0</v>
      </c>
      <c r="F127" s="42">
        <v>3896.0</v>
      </c>
      <c r="G127" s="42">
        <v>3811.0</v>
      </c>
      <c r="H127" s="42">
        <v>5499.0</v>
      </c>
      <c r="I127" s="42">
        <v>19694.0</v>
      </c>
      <c r="K127" s="43">
        <f t="shared" si="30"/>
        <v>0.472732812</v>
      </c>
    </row>
    <row r="128" ht="15.75" customHeight="1">
      <c r="A128" s="40" t="s">
        <v>64</v>
      </c>
      <c r="B128" s="33"/>
      <c r="C128" s="33"/>
      <c r="D128" s="33"/>
      <c r="E128" s="33"/>
      <c r="F128" s="33"/>
      <c r="G128" s="33"/>
      <c r="H128" s="33"/>
      <c r="I128" s="34"/>
      <c r="K128" s="43"/>
    </row>
    <row r="129" ht="15.75" customHeight="1">
      <c r="A129" s="41" t="s">
        <v>109</v>
      </c>
      <c r="B129" s="42">
        <v>20354.0</v>
      </c>
      <c r="C129" s="42">
        <v>94941.0</v>
      </c>
      <c r="D129" s="42">
        <v>124028.0</v>
      </c>
      <c r="E129" s="42">
        <v>106671.0</v>
      </c>
      <c r="F129" s="42">
        <v>115875.0</v>
      </c>
      <c r="G129" s="42">
        <v>109714.0</v>
      </c>
      <c r="H129" s="42">
        <v>109477.0</v>
      </c>
      <c r="I129" s="42">
        <v>681060.0</v>
      </c>
      <c r="K129" s="43">
        <f t="shared" ref="K129:K131" si="31">((G129+H129)/I129)</f>
        <v>0.3218380172</v>
      </c>
    </row>
    <row r="130" ht="15.75" customHeight="1">
      <c r="A130" s="41" t="s">
        <v>110</v>
      </c>
      <c r="B130" s="42">
        <v>11110.0</v>
      </c>
      <c r="C130" s="42">
        <v>50232.0</v>
      </c>
      <c r="D130" s="42">
        <v>64219.0</v>
      </c>
      <c r="E130" s="42">
        <v>62609.0</v>
      </c>
      <c r="F130" s="42">
        <v>41770.0</v>
      </c>
      <c r="G130" s="42">
        <v>22501.0</v>
      </c>
      <c r="H130" s="42">
        <v>27891.0</v>
      </c>
      <c r="I130" s="42">
        <v>280331.0</v>
      </c>
      <c r="K130" s="43">
        <f t="shared" si="31"/>
        <v>0.1797589278</v>
      </c>
    </row>
    <row r="131" ht="15.75" customHeight="1">
      <c r="A131" s="41" t="s">
        <v>111</v>
      </c>
      <c r="B131" s="42">
        <v>9244.0</v>
      </c>
      <c r="C131" s="42">
        <v>44710.0</v>
      </c>
      <c r="D131" s="42">
        <v>59810.0</v>
      </c>
      <c r="E131" s="42">
        <v>44062.0</v>
      </c>
      <c r="F131" s="42">
        <v>74105.0</v>
      </c>
      <c r="G131" s="42">
        <v>87213.0</v>
      </c>
      <c r="H131" s="42">
        <v>81586.0</v>
      </c>
      <c r="I131" s="42">
        <v>400729.0</v>
      </c>
      <c r="K131" s="43">
        <f t="shared" si="31"/>
        <v>0.4212298087</v>
      </c>
    </row>
    <row r="132" ht="15.75" customHeight="1">
      <c r="A132" s="40" t="s">
        <v>24</v>
      </c>
      <c r="B132" s="33"/>
      <c r="C132" s="33"/>
      <c r="D132" s="33"/>
      <c r="E132" s="33"/>
      <c r="F132" s="33"/>
      <c r="G132" s="33"/>
      <c r="H132" s="33"/>
      <c r="I132" s="34"/>
      <c r="K132" s="43"/>
    </row>
    <row r="133" ht="15.75" customHeight="1">
      <c r="A133" s="41" t="s">
        <v>109</v>
      </c>
      <c r="B133" s="42">
        <v>8825.0</v>
      </c>
      <c r="C133" s="42">
        <v>19044.0</v>
      </c>
      <c r="D133" s="42">
        <v>31600.0</v>
      </c>
      <c r="E133" s="42">
        <v>32453.0</v>
      </c>
      <c r="F133" s="42">
        <v>27125.0</v>
      </c>
      <c r="G133" s="42">
        <v>24925.0</v>
      </c>
      <c r="H133" s="42">
        <v>22330.0</v>
      </c>
      <c r="I133" s="42">
        <v>166300.0</v>
      </c>
      <c r="K133" s="43">
        <f t="shared" ref="K133:K135" si="32">((G133+H133)/I133)</f>
        <v>0.2841551413</v>
      </c>
    </row>
    <row r="134" ht="15.75" customHeight="1">
      <c r="A134" s="41" t="s">
        <v>110</v>
      </c>
      <c r="B134" s="42">
        <v>6550.0</v>
      </c>
      <c r="C134" s="42">
        <v>8087.0</v>
      </c>
      <c r="D134" s="42">
        <v>20002.0</v>
      </c>
      <c r="E134" s="42">
        <v>20799.0</v>
      </c>
      <c r="F134" s="42">
        <v>12666.0</v>
      </c>
      <c r="G134" s="42">
        <v>8636.0</v>
      </c>
      <c r="H134" s="42">
        <v>6195.0</v>
      </c>
      <c r="I134" s="42">
        <v>82936.0</v>
      </c>
      <c r="K134" s="43">
        <f t="shared" si="32"/>
        <v>0.1788246359</v>
      </c>
    </row>
    <row r="135" ht="15.75" customHeight="1">
      <c r="A135" s="41" t="s">
        <v>111</v>
      </c>
      <c r="B135" s="42">
        <v>2274.0</v>
      </c>
      <c r="C135" s="42">
        <v>10957.0</v>
      </c>
      <c r="D135" s="42">
        <v>11598.0</v>
      </c>
      <c r="E135" s="42">
        <v>11654.0</v>
      </c>
      <c r="F135" s="42">
        <v>14459.0</v>
      </c>
      <c r="G135" s="42">
        <v>16289.0</v>
      </c>
      <c r="H135" s="42">
        <v>16134.0</v>
      </c>
      <c r="I135" s="42">
        <v>83364.0</v>
      </c>
      <c r="K135" s="43">
        <f t="shared" si="32"/>
        <v>0.3889328727</v>
      </c>
    </row>
    <row r="136" ht="15.75" customHeight="1">
      <c r="A136" s="40" t="s">
        <v>65</v>
      </c>
      <c r="B136" s="33"/>
      <c r="C136" s="33"/>
      <c r="D136" s="33"/>
      <c r="E136" s="33"/>
      <c r="F136" s="33"/>
      <c r="G136" s="33"/>
      <c r="H136" s="33"/>
      <c r="I136" s="34"/>
      <c r="K136" s="43"/>
    </row>
    <row r="137" ht="15.75" customHeight="1">
      <c r="A137" s="41" t="s">
        <v>109</v>
      </c>
      <c r="B137" s="42">
        <v>4970.0</v>
      </c>
      <c r="C137" s="42">
        <v>15685.0</v>
      </c>
      <c r="D137" s="42">
        <v>23186.0</v>
      </c>
      <c r="E137" s="42">
        <v>17846.0</v>
      </c>
      <c r="F137" s="42">
        <v>17107.0</v>
      </c>
      <c r="G137" s="42">
        <v>23026.0</v>
      </c>
      <c r="H137" s="42">
        <v>21047.0</v>
      </c>
      <c r="I137" s="42">
        <v>122868.0</v>
      </c>
      <c r="K137" s="43">
        <f t="shared" ref="K137:K139" si="33">((G137+H137)/I137)</f>
        <v>0.3587020217</v>
      </c>
    </row>
    <row r="138" ht="15.75" customHeight="1">
      <c r="A138" s="41" t="s">
        <v>110</v>
      </c>
      <c r="B138" s="42">
        <v>3892.0</v>
      </c>
      <c r="C138" s="42">
        <v>11956.0</v>
      </c>
      <c r="D138" s="42">
        <v>14745.0</v>
      </c>
      <c r="E138" s="42">
        <v>13245.0</v>
      </c>
      <c r="F138" s="42">
        <v>6493.0</v>
      </c>
      <c r="G138" s="42">
        <v>6200.0</v>
      </c>
      <c r="H138" s="42">
        <v>4142.0</v>
      </c>
      <c r="I138" s="42">
        <v>60672.0</v>
      </c>
      <c r="K138" s="43">
        <f t="shared" si="33"/>
        <v>0.1704575422</v>
      </c>
    </row>
    <row r="139" ht="15.75" customHeight="1">
      <c r="A139" s="41" t="s">
        <v>111</v>
      </c>
      <c r="B139" s="42">
        <v>1078.0</v>
      </c>
      <c r="C139" s="42">
        <v>3730.0</v>
      </c>
      <c r="D139" s="42">
        <v>8441.0</v>
      </c>
      <c r="E139" s="42">
        <v>4601.0</v>
      </c>
      <c r="F139" s="42">
        <v>10614.0</v>
      </c>
      <c r="G139" s="42">
        <v>16826.0</v>
      </c>
      <c r="H139" s="42">
        <v>16906.0</v>
      </c>
      <c r="I139" s="42">
        <v>62196.0</v>
      </c>
      <c r="K139" s="43">
        <f t="shared" si="33"/>
        <v>0.5423499904</v>
      </c>
    </row>
    <row r="140" ht="15.75" customHeight="1">
      <c r="A140" s="40" t="s">
        <v>66</v>
      </c>
      <c r="B140" s="33"/>
      <c r="C140" s="33"/>
      <c r="D140" s="33"/>
      <c r="E140" s="33"/>
      <c r="F140" s="33"/>
      <c r="G140" s="33"/>
      <c r="H140" s="33"/>
      <c r="I140" s="34"/>
      <c r="K140" s="43"/>
    </row>
    <row r="141" ht="15.75" customHeight="1">
      <c r="A141" s="41" t="s">
        <v>109</v>
      </c>
      <c r="B141" s="42">
        <v>3175.0</v>
      </c>
      <c r="C141" s="42">
        <v>7907.0</v>
      </c>
      <c r="D141" s="42">
        <v>12414.0</v>
      </c>
      <c r="E141" s="42">
        <v>11952.0</v>
      </c>
      <c r="F141" s="42">
        <v>11036.0</v>
      </c>
      <c r="G141" s="42">
        <v>13259.0</v>
      </c>
      <c r="H141" s="42">
        <v>11363.0</v>
      </c>
      <c r="I141" s="42">
        <v>71106.0</v>
      </c>
      <c r="K141" s="43">
        <f t="shared" ref="K141:K143" si="34">((G141+H141)/I141)</f>
        <v>0.3462717633</v>
      </c>
    </row>
    <row r="142" ht="15.75" customHeight="1">
      <c r="A142" s="41" t="s">
        <v>110</v>
      </c>
      <c r="B142" s="42">
        <v>2371.0</v>
      </c>
      <c r="C142" s="42">
        <v>4610.0</v>
      </c>
      <c r="D142" s="42">
        <v>8644.0</v>
      </c>
      <c r="E142" s="42">
        <v>7221.0</v>
      </c>
      <c r="F142" s="42">
        <v>4728.0</v>
      </c>
      <c r="G142" s="42">
        <v>4505.0</v>
      </c>
      <c r="H142" s="42">
        <v>2714.0</v>
      </c>
      <c r="I142" s="42">
        <v>34793.0</v>
      </c>
      <c r="K142" s="43">
        <f t="shared" si="34"/>
        <v>0.2074842641</v>
      </c>
    </row>
    <row r="143" ht="15.75" customHeight="1">
      <c r="A143" s="41" t="s">
        <v>111</v>
      </c>
      <c r="B143" s="42">
        <v>804.0</v>
      </c>
      <c r="C143" s="42">
        <v>3297.0</v>
      </c>
      <c r="D143" s="42">
        <v>3769.0</v>
      </c>
      <c r="E143" s="42">
        <v>4730.0</v>
      </c>
      <c r="F143" s="42">
        <v>6308.0</v>
      </c>
      <c r="G143" s="42">
        <v>8754.0</v>
      </c>
      <c r="H143" s="42">
        <v>8649.0</v>
      </c>
      <c r="I143" s="42">
        <v>36313.0</v>
      </c>
      <c r="K143" s="43">
        <f t="shared" si="34"/>
        <v>0.4792498554</v>
      </c>
    </row>
    <row r="144" ht="15.75" customHeight="1">
      <c r="A144" s="40" t="s">
        <v>63</v>
      </c>
      <c r="B144" s="33"/>
      <c r="C144" s="33"/>
      <c r="D144" s="33"/>
      <c r="E144" s="33"/>
      <c r="F144" s="33"/>
      <c r="G144" s="33"/>
      <c r="H144" s="33"/>
      <c r="I144" s="34"/>
      <c r="K144" s="43"/>
    </row>
    <row r="145" ht="15.75" customHeight="1">
      <c r="A145" s="41" t="s">
        <v>109</v>
      </c>
      <c r="B145" s="42">
        <v>1801.0</v>
      </c>
      <c r="C145" s="42">
        <v>3566.0</v>
      </c>
      <c r="D145" s="42">
        <v>4943.0</v>
      </c>
      <c r="E145" s="42">
        <v>5751.0</v>
      </c>
      <c r="F145" s="42">
        <v>7408.0</v>
      </c>
      <c r="G145" s="42">
        <v>6720.0</v>
      </c>
      <c r="H145" s="42">
        <v>9634.0</v>
      </c>
      <c r="I145" s="42">
        <v>39824.0</v>
      </c>
      <c r="K145" s="43">
        <f t="shared" ref="K145:K147" si="35">((G145+H145)/I145)</f>
        <v>0.4106568903</v>
      </c>
    </row>
    <row r="146" ht="15.75" customHeight="1">
      <c r="A146" s="41" t="s">
        <v>110</v>
      </c>
      <c r="B146" s="42">
        <v>757.0</v>
      </c>
      <c r="C146" s="42">
        <v>2229.0</v>
      </c>
      <c r="D146" s="42">
        <v>3074.0</v>
      </c>
      <c r="E146" s="42">
        <v>3152.0</v>
      </c>
      <c r="F146" s="42">
        <v>4437.0</v>
      </c>
      <c r="G146" s="42">
        <v>2320.0</v>
      </c>
      <c r="H146" s="42">
        <v>2713.0</v>
      </c>
      <c r="I146" s="42">
        <v>18682.0</v>
      </c>
      <c r="K146" s="43">
        <f t="shared" si="35"/>
        <v>0.2694037041</v>
      </c>
    </row>
    <row r="147" ht="15.75" customHeight="1">
      <c r="A147" s="41" t="s">
        <v>111</v>
      </c>
      <c r="B147" s="42">
        <v>1045.0</v>
      </c>
      <c r="C147" s="42">
        <v>1338.0</v>
      </c>
      <c r="D147" s="42">
        <v>1869.0</v>
      </c>
      <c r="E147" s="42">
        <v>2599.0</v>
      </c>
      <c r="F147" s="42">
        <v>2971.0</v>
      </c>
      <c r="G147" s="42">
        <v>4400.0</v>
      </c>
      <c r="H147" s="42">
        <v>6921.0</v>
      </c>
      <c r="I147" s="42">
        <v>21142.0</v>
      </c>
      <c r="K147" s="43">
        <f t="shared" si="35"/>
        <v>0.5354744111</v>
      </c>
    </row>
    <row r="148" ht="15.75" customHeight="1">
      <c r="A148" s="40" t="s">
        <v>46</v>
      </c>
      <c r="B148" s="33"/>
      <c r="C148" s="33"/>
      <c r="D148" s="33"/>
      <c r="E148" s="33"/>
      <c r="F148" s="33"/>
      <c r="G148" s="33"/>
      <c r="H148" s="33"/>
      <c r="I148" s="34"/>
      <c r="K148" s="43"/>
    </row>
    <row r="149" ht="15.75" customHeight="1">
      <c r="A149" s="41" t="s">
        <v>109</v>
      </c>
      <c r="B149" s="42">
        <v>510.0</v>
      </c>
      <c r="C149" s="42">
        <v>2646.0</v>
      </c>
      <c r="D149" s="42">
        <v>2761.0</v>
      </c>
      <c r="E149" s="42">
        <v>3757.0</v>
      </c>
      <c r="F149" s="42">
        <v>3854.0</v>
      </c>
      <c r="G149" s="42">
        <v>3344.0</v>
      </c>
      <c r="H149" s="42">
        <v>3784.0</v>
      </c>
      <c r="I149" s="42">
        <v>20656.0</v>
      </c>
      <c r="K149" s="43">
        <f t="shared" ref="K149:K151" si="36">((G149+H149)/I149)</f>
        <v>0.3450813323</v>
      </c>
    </row>
    <row r="150" ht="15.75" customHeight="1">
      <c r="A150" s="41" t="s">
        <v>110</v>
      </c>
      <c r="B150" s="42">
        <v>228.0</v>
      </c>
      <c r="C150" s="42">
        <v>1192.0</v>
      </c>
      <c r="D150" s="42">
        <v>1943.0</v>
      </c>
      <c r="E150" s="42">
        <v>2456.0</v>
      </c>
      <c r="F150" s="42">
        <v>1718.0</v>
      </c>
      <c r="G150" s="42">
        <v>1298.0</v>
      </c>
      <c r="H150" s="42">
        <v>794.0</v>
      </c>
      <c r="I150" s="42">
        <v>9628.0</v>
      </c>
      <c r="K150" s="43">
        <f t="shared" si="36"/>
        <v>0.2172829248</v>
      </c>
    </row>
    <row r="151" ht="15.75" customHeight="1">
      <c r="A151" s="41" t="s">
        <v>111</v>
      </c>
      <c r="B151" s="42">
        <v>282.0</v>
      </c>
      <c r="C151" s="42">
        <v>1454.0</v>
      </c>
      <c r="D151" s="42">
        <v>818.0</v>
      </c>
      <c r="E151" s="42">
        <v>1300.0</v>
      </c>
      <c r="F151" s="42">
        <v>2136.0</v>
      </c>
      <c r="G151" s="42">
        <v>2047.0</v>
      </c>
      <c r="H151" s="42">
        <v>2990.0</v>
      </c>
      <c r="I151" s="42">
        <v>11028.0</v>
      </c>
      <c r="K151" s="43">
        <f t="shared" si="36"/>
        <v>0.4567464635</v>
      </c>
    </row>
    <row r="152" ht="15.75" customHeight="1">
      <c r="A152" s="40" t="s">
        <v>81</v>
      </c>
      <c r="B152" s="33"/>
      <c r="C152" s="33"/>
      <c r="D152" s="33"/>
      <c r="E152" s="33"/>
      <c r="F152" s="33"/>
      <c r="G152" s="33"/>
      <c r="H152" s="33"/>
      <c r="I152" s="34"/>
      <c r="K152" s="43"/>
    </row>
    <row r="153" ht="15.75" customHeight="1">
      <c r="A153" s="41" t="s">
        <v>109</v>
      </c>
      <c r="B153" s="42">
        <v>5677.0</v>
      </c>
      <c r="C153" s="42">
        <v>20297.0</v>
      </c>
      <c r="D153" s="42">
        <v>21954.0</v>
      </c>
      <c r="E153" s="42">
        <v>24329.0</v>
      </c>
      <c r="F153" s="42">
        <v>17230.0</v>
      </c>
      <c r="G153" s="42">
        <v>14271.0</v>
      </c>
      <c r="H153" s="42">
        <v>7285.0</v>
      </c>
      <c r="I153" s="42">
        <v>111043.0</v>
      </c>
      <c r="K153" s="43">
        <f t="shared" ref="K153:K155" si="37">((G153+H153)/I153)</f>
        <v>0.1941229974</v>
      </c>
    </row>
    <row r="154" ht="15.75" customHeight="1">
      <c r="A154" s="41" t="s">
        <v>110</v>
      </c>
      <c r="B154" s="42">
        <v>1952.0</v>
      </c>
      <c r="C154" s="42">
        <v>12180.0</v>
      </c>
      <c r="D154" s="42">
        <v>15128.0</v>
      </c>
      <c r="E154" s="42">
        <v>15354.0</v>
      </c>
      <c r="F154" s="42">
        <v>8389.0</v>
      </c>
      <c r="G154" s="42">
        <v>5263.0</v>
      </c>
      <c r="H154" s="42">
        <v>1546.0</v>
      </c>
      <c r="I154" s="42">
        <v>59812.0</v>
      </c>
      <c r="K154" s="43">
        <f t="shared" si="37"/>
        <v>0.1138400321</v>
      </c>
    </row>
    <row r="155" ht="15.75" customHeight="1">
      <c r="A155" s="41" t="s">
        <v>111</v>
      </c>
      <c r="B155" s="42">
        <v>3725.0</v>
      </c>
      <c r="C155" s="42">
        <v>8117.0</v>
      </c>
      <c r="D155" s="42">
        <v>6826.0</v>
      </c>
      <c r="E155" s="42">
        <v>8975.0</v>
      </c>
      <c r="F155" s="42">
        <v>8841.0</v>
      </c>
      <c r="G155" s="42">
        <v>9007.0</v>
      </c>
      <c r="H155" s="42">
        <v>5739.0</v>
      </c>
      <c r="I155" s="42">
        <v>51231.0</v>
      </c>
      <c r="K155" s="43">
        <f t="shared" si="37"/>
        <v>0.2878335383</v>
      </c>
    </row>
    <row r="156" ht="15.75" customHeight="1">
      <c r="A156" s="40" t="s">
        <v>61</v>
      </c>
      <c r="B156" s="33"/>
      <c r="C156" s="33"/>
      <c r="D156" s="33"/>
      <c r="E156" s="33"/>
      <c r="F156" s="33"/>
      <c r="G156" s="33"/>
      <c r="H156" s="33"/>
      <c r="I156" s="34"/>
      <c r="K156" s="43"/>
    </row>
    <row r="157" ht="15.75" customHeight="1">
      <c r="A157" s="41" t="s">
        <v>109</v>
      </c>
      <c r="B157" s="42">
        <v>4087.0</v>
      </c>
      <c r="C157" s="42">
        <v>9987.0</v>
      </c>
      <c r="D157" s="42">
        <v>18238.0</v>
      </c>
      <c r="E157" s="42">
        <v>14485.0</v>
      </c>
      <c r="F157" s="42">
        <v>17508.0</v>
      </c>
      <c r="G157" s="42">
        <v>13585.0</v>
      </c>
      <c r="H157" s="42">
        <v>15920.0</v>
      </c>
      <c r="I157" s="42">
        <v>93809.0</v>
      </c>
      <c r="K157" s="43">
        <f t="shared" ref="K157:K159" si="38">((G157+H157)/I157)</f>
        <v>0.3145220608</v>
      </c>
    </row>
    <row r="158" ht="15.75" customHeight="1">
      <c r="A158" s="41" t="s">
        <v>110</v>
      </c>
      <c r="B158" s="42">
        <v>1815.0</v>
      </c>
      <c r="C158" s="42">
        <v>5508.0</v>
      </c>
      <c r="D158" s="42">
        <v>12663.0</v>
      </c>
      <c r="E158" s="42">
        <v>8766.0</v>
      </c>
      <c r="F158" s="42">
        <v>8384.0</v>
      </c>
      <c r="G158" s="42">
        <v>4195.0</v>
      </c>
      <c r="H158" s="42">
        <v>3971.0</v>
      </c>
      <c r="I158" s="42">
        <v>45302.0</v>
      </c>
      <c r="K158" s="43">
        <f t="shared" si="38"/>
        <v>0.1802569423</v>
      </c>
    </row>
    <row r="159" ht="15.75" customHeight="1">
      <c r="A159" s="41" t="s">
        <v>111</v>
      </c>
      <c r="B159" s="42">
        <v>2272.0</v>
      </c>
      <c r="C159" s="42">
        <v>4479.0</v>
      </c>
      <c r="D159" s="42">
        <v>5575.0</v>
      </c>
      <c r="E159" s="42">
        <v>5719.0</v>
      </c>
      <c r="F159" s="42">
        <v>9124.0</v>
      </c>
      <c r="G159" s="42">
        <v>9390.0</v>
      </c>
      <c r="H159" s="42">
        <v>11949.0</v>
      </c>
      <c r="I159" s="42">
        <v>48507.0</v>
      </c>
      <c r="K159" s="43">
        <f t="shared" si="38"/>
        <v>0.4399158884</v>
      </c>
    </row>
    <row r="160" ht="15.75" customHeight="1">
      <c r="A160" s="40" t="s">
        <v>93</v>
      </c>
      <c r="B160" s="33"/>
      <c r="C160" s="33"/>
      <c r="D160" s="33"/>
      <c r="E160" s="33"/>
      <c r="F160" s="33"/>
      <c r="G160" s="33"/>
      <c r="H160" s="33"/>
      <c r="I160" s="34"/>
      <c r="K160" s="43"/>
    </row>
    <row r="161" ht="15.75" customHeight="1">
      <c r="A161" s="41" t="s">
        <v>109</v>
      </c>
      <c r="B161" s="42">
        <v>1508.0</v>
      </c>
      <c r="C161" s="42">
        <v>4325.0</v>
      </c>
      <c r="D161" s="42">
        <v>6821.0</v>
      </c>
      <c r="E161" s="42">
        <v>6211.0</v>
      </c>
      <c r="F161" s="42">
        <v>6521.0</v>
      </c>
      <c r="G161" s="42">
        <v>6824.0</v>
      </c>
      <c r="H161" s="42">
        <v>6307.0</v>
      </c>
      <c r="I161" s="42">
        <v>38517.0</v>
      </c>
      <c r="K161" s="43">
        <f t="shared" ref="K161:K163" si="39">((G161+H161)/I161)</f>
        <v>0.3409144014</v>
      </c>
    </row>
    <row r="162" ht="15.75" customHeight="1">
      <c r="A162" s="41" t="s">
        <v>110</v>
      </c>
      <c r="B162" s="42">
        <v>829.0</v>
      </c>
      <c r="C162" s="42">
        <v>2772.0</v>
      </c>
      <c r="D162" s="42">
        <v>4362.0</v>
      </c>
      <c r="E162" s="42">
        <v>3997.0</v>
      </c>
      <c r="F162" s="42">
        <v>3280.0</v>
      </c>
      <c r="G162" s="42">
        <v>2300.0</v>
      </c>
      <c r="H162" s="42">
        <v>1528.0</v>
      </c>
      <c r="I162" s="42">
        <v>19067.0</v>
      </c>
      <c r="K162" s="43">
        <f t="shared" si="39"/>
        <v>0.2007657209</v>
      </c>
    </row>
    <row r="163" ht="15.75" customHeight="1">
      <c r="A163" s="41" t="s">
        <v>111</v>
      </c>
      <c r="B163" s="42">
        <v>679.0</v>
      </c>
      <c r="C163" s="42">
        <v>1553.0</v>
      </c>
      <c r="D163" s="42">
        <v>2459.0</v>
      </c>
      <c r="E163" s="42">
        <v>2214.0</v>
      </c>
      <c r="F163" s="42">
        <v>3241.0</v>
      </c>
      <c r="G163" s="42">
        <v>4525.0</v>
      </c>
      <c r="H163" s="42">
        <v>4780.0</v>
      </c>
      <c r="I163" s="42">
        <v>19450.0</v>
      </c>
      <c r="K163" s="43">
        <f t="shared" si="39"/>
        <v>0.4784061697</v>
      </c>
    </row>
    <row r="164" ht="15.75" customHeight="1">
      <c r="A164" s="40" t="s">
        <v>50</v>
      </c>
      <c r="B164" s="33"/>
      <c r="C164" s="33"/>
      <c r="D164" s="33"/>
      <c r="E164" s="33"/>
      <c r="F164" s="33"/>
      <c r="G164" s="33"/>
      <c r="H164" s="33"/>
      <c r="I164" s="34"/>
      <c r="K164" s="43"/>
    </row>
    <row r="165" ht="15.75" customHeight="1">
      <c r="A165" s="41" t="s">
        <v>109</v>
      </c>
      <c r="B165" s="42">
        <v>2405.0</v>
      </c>
      <c r="C165" s="42">
        <v>4554.0</v>
      </c>
      <c r="D165" s="42">
        <v>4493.0</v>
      </c>
      <c r="E165" s="42">
        <v>6469.0</v>
      </c>
      <c r="F165" s="42">
        <v>8464.0</v>
      </c>
      <c r="G165" s="42">
        <v>7819.0</v>
      </c>
      <c r="H165" s="42">
        <v>9755.0</v>
      </c>
      <c r="I165" s="42">
        <v>43959.0</v>
      </c>
      <c r="K165" s="43">
        <f t="shared" ref="K165:K167" si="40">((G165+H165)/I165)</f>
        <v>0.3997816147</v>
      </c>
    </row>
    <row r="166" ht="15.75" customHeight="1">
      <c r="A166" s="41" t="s">
        <v>110</v>
      </c>
      <c r="B166" s="42">
        <v>772.0</v>
      </c>
      <c r="C166" s="42">
        <v>2323.0</v>
      </c>
      <c r="D166" s="42">
        <v>2636.0</v>
      </c>
      <c r="E166" s="42">
        <v>4345.0</v>
      </c>
      <c r="F166" s="42">
        <v>3475.0</v>
      </c>
      <c r="G166" s="42">
        <v>2910.0</v>
      </c>
      <c r="H166" s="42">
        <v>2567.0</v>
      </c>
      <c r="I166" s="42">
        <v>19027.0</v>
      </c>
      <c r="K166" s="43">
        <f t="shared" si="40"/>
        <v>0.2878541021</v>
      </c>
    </row>
    <row r="167" ht="15.75" customHeight="1">
      <c r="A167" s="41" t="s">
        <v>111</v>
      </c>
      <c r="B167" s="42">
        <v>1633.0</v>
      </c>
      <c r="C167" s="42">
        <v>2231.0</v>
      </c>
      <c r="D167" s="42">
        <v>1857.0</v>
      </c>
      <c r="E167" s="42">
        <v>2125.0</v>
      </c>
      <c r="F167" s="42">
        <v>4989.0</v>
      </c>
      <c r="G167" s="42">
        <v>4910.0</v>
      </c>
      <c r="H167" s="42">
        <v>7188.0</v>
      </c>
      <c r="I167" s="42">
        <v>24932.0</v>
      </c>
      <c r="K167" s="43">
        <f t="shared" si="40"/>
        <v>0.4852398524</v>
      </c>
    </row>
    <row r="168" ht="15.75" customHeight="1">
      <c r="A168" s="40" t="s">
        <v>36</v>
      </c>
      <c r="B168" s="33"/>
      <c r="C168" s="33"/>
      <c r="D168" s="33"/>
      <c r="E168" s="33"/>
      <c r="F168" s="33"/>
      <c r="G168" s="33"/>
      <c r="H168" s="33"/>
      <c r="I168" s="34"/>
      <c r="K168" s="43"/>
    </row>
    <row r="169" ht="15.75" customHeight="1">
      <c r="A169" s="41" t="s">
        <v>109</v>
      </c>
      <c r="B169" s="42">
        <v>5511.0</v>
      </c>
      <c r="C169" s="42">
        <v>14687.0</v>
      </c>
      <c r="D169" s="42">
        <v>18618.0</v>
      </c>
      <c r="E169" s="42">
        <v>20985.0</v>
      </c>
      <c r="F169" s="42">
        <v>17972.0</v>
      </c>
      <c r="G169" s="42">
        <v>13717.0</v>
      </c>
      <c r="H169" s="42">
        <v>12072.0</v>
      </c>
      <c r="I169" s="42">
        <v>103561.0</v>
      </c>
      <c r="K169" s="43">
        <f t="shared" ref="K169:K171" si="41">((G169+H169)/I169)</f>
        <v>0.2490223154</v>
      </c>
    </row>
    <row r="170" ht="15.75" customHeight="1">
      <c r="A170" s="41" t="s">
        <v>110</v>
      </c>
      <c r="B170" s="42">
        <v>3380.0</v>
      </c>
      <c r="C170" s="42">
        <v>8979.0</v>
      </c>
      <c r="D170" s="42">
        <v>12102.0</v>
      </c>
      <c r="E170" s="42">
        <v>14263.0</v>
      </c>
      <c r="F170" s="42">
        <v>9843.0</v>
      </c>
      <c r="G170" s="42">
        <v>5777.0</v>
      </c>
      <c r="H170" s="42">
        <v>2611.0</v>
      </c>
      <c r="I170" s="42">
        <v>56954.0</v>
      </c>
      <c r="K170" s="43">
        <f t="shared" si="41"/>
        <v>0.1472767497</v>
      </c>
    </row>
    <row r="171" ht="15.75" customHeight="1">
      <c r="A171" s="41" t="s">
        <v>111</v>
      </c>
      <c r="B171" s="42">
        <v>2131.0</v>
      </c>
      <c r="C171" s="42">
        <v>5708.0</v>
      </c>
      <c r="D171" s="42">
        <v>6516.0</v>
      </c>
      <c r="E171" s="42">
        <v>6722.0</v>
      </c>
      <c r="F171" s="42">
        <v>8128.0</v>
      </c>
      <c r="G171" s="42">
        <v>7940.0</v>
      </c>
      <c r="H171" s="42">
        <v>9461.0</v>
      </c>
      <c r="I171" s="42">
        <v>46607.0</v>
      </c>
      <c r="K171" s="43">
        <f t="shared" si="41"/>
        <v>0.3733559337</v>
      </c>
    </row>
    <row r="172" ht="15.75" customHeight="1">
      <c r="A172" s="40" t="s">
        <v>45</v>
      </c>
      <c r="B172" s="33"/>
      <c r="C172" s="33"/>
      <c r="D172" s="33"/>
      <c r="E172" s="33"/>
      <c r="F172" s="33"/>
      <c r="G172" s="33"/>
      <c r="H172" s="33"/>
      <c r="I172" s="34"/>
      <c r="K172" s="43"/>
    </row>
    <row r="173" ht="15.75" customHeight="1">
      <c r="A173" s="41" t="s">
        <v>109</v>
      </c>
      <c r="B173" s="42">
        <v>771.0</v>
      </c>
      <c r="C173" s="42">
        <v>2509.0</v>
      </c>
      <c r="D173" s="42">
        <v>3276.0</v>
      </c>
      <c r="E173" s="42">
        <v>2138.0</v>
      </c>
      <c r="F173" s="42">
        <v>3209.0</v>
      </c>
      <c r="G173" s="42">
        <v>2636.0</v>
      </c>
      <c r="H173" s="42">
        <v>3821.0</v>
      </c>
      <c r="I173" s="42">
        <v>18361.0</v>
      </c>
      <c r="K173" s="43">
        <f t="shared" ref="K173:K175" si="42">((G173+H173)/I173)</f>
        <v>0.3516692991</v>
      </c>
    </row>
    <row r="174" ht="15.75" customHeight="1">
      <c r="A174" s="41" t="s">
        <v>110</v>
      </c>
      <c r="B174" s="42">
        <v>313.0</v>
      </c>
      <c r="C174" s="42">
        <v>1830.0</v>
      </c>
      <c r="D174" s="42">
        <v>2135.0</v>
      </c>
      <c r="E174" s="42">
        <v>1483.0</v>
      </c>
      <c r="F174" s="42">
        <v>1608.0</v>
      </c>
      <c r="G174" s="42">
        <v>1229.0</v>
      </c>
      <c r="H174" s="42">
        <v>935.0</v>
      </c>
      <c r="I174" s="42">
        <v>9533.0</v>
      </c>
      <c r="K174" s="43">
        <f t="shared" si="42"/>
        <v>0.2270009441</v>
      </c>
    </row>
    <row r="175" ht="15.75" customHeight="1">
      <c r="A175" s="41" t="s">
        <v>111</v>
      </c>
      <c r="B175" s="42">
        <v>458.0</v>
      </c>
      <c r="C175" s="42">
        <v>679.0</v>
      </c>
      <c r="D175" s="42">
        <v>1141.0</v>
      </c>
      <c r="E175" s="42">
        <v>655.0</v>
      </c>
      <c r="F175" s="42">
        <v>1602.0</v>
      </c>
      <c r="G175" s="42">
        <v>1407.0</v>
      </c>
      <c r="H175" s="42">
        <v>2886.0</v>
      </c>
      <c r="I175" s="42">
        <v>8828.0</v>
      </c>
      <c r="K175" s="43">
        <f t="shared" si="42"/>
        <v>0.4862936112</v>
      </c>
    </row>
    <row r="176" ht="15.75" customHeight="1">
      <c r="A176" s="40" t="s">
        <v>29</v>
      </c>
      <c r="B176" s="33"/>
      <c r="C176" s="33"/>
      <c r="D176" s="33"/>
      <c r="E176" s="33"/>
      <c r="F176" s="33"/>
      <c r="G176" s="33"/>
      <c r="H176" s="33"/>
      <c r="I176" s="34"/>
      <c r="K176" s="43"/>
    </row>
    <row r="177" ht="15.75" customHeight="1">
      <c r="A177" s="41" t="s">
        <v>109</v>
      </c>
      <c r="B177" s="42">
        <v>7787.0</v>
      </c>
      <c r="C177" s="42">
        <v>25720.0</v>
      </c>
      <c r="D177" s="42">
        <v>23483.0</v>
      </c>
      <c r="E177" s="42">
        <v>27546.0</v>
      </c>
      <c r="F177" s="42">
        <v>27486.0</v>
      </c>
      <c r="G177" s="42">
        <v>30889.0</v>
      </c>
      <c r="H177" s="42">
        <v>29938.0</v>
      </c>
      <c r="I177" s="42">
        <v>172849.0</v>
      </c>
      <c r="K177" s="43">
        <f t="shared" ref="K177:K179" si="43">((G177+H177)/I177)</f>
        <v>0.351908313</v>
      </c>
    </row>
    <row r="178" ht="15.75" customHeight="1">
      <c r="A178" s="41" t="s">
        <v>110</v>
      </c>
      <c r="B178" s="42">
        <v>5735.0</v>
      </c>
      <c r="C178" s="42">
        <v>15438.0</v>
      </c>
      <c r="D178" s="42">
        <v>14737.0</v>
      </c>
      <c r="E178" s="42">
        <v>17231.0</v>
      </c>
      <c r="F178" s="42">
        <v>10588.0</v>
      </c>
      <c r="G178" s="42">
        <v>8483.0</v>
      </c>
      <c r="H178" s="42">
        <v>5529.0</v>
      </c>
      <c r="I178" s="42">
        <v>77743.0</v>
      </c>
      <c r="K178" s="43">
        <f t="shared" si="43"/>
        <v>0.1802348765</v>
      </c>
    </row>
    <row r="179" ht="15.75" customHeight="1">
      <c r="A179" s="41" t="s">
        <v>111</v>
      </c>
      <c r="B179" s="42">
        <v>2051.0</v>
      </c>
      <c r="C179" s="42">
        <v>10282.0</v>
      </c>
      <c r="D179" s="42">
        <v>8746.0</v>
      </c>
      <c r="E179" s="42">
        <v>10315.0</v>
      </c>
      <c r="F179" s="42">
        <v>16898.0</v>
      </c>
      <c r="G179" s="42">
        <v>22406.0</v>
      </c>
      <c r="H179" s="42">
        <v>24409.0</v>
      </c>
      <c r="I179" s="42">
        <v>95106.0</v>
      </c>
      <c r="K179" s="43">
        <f t="shared" si="43"/>
        <v>0.4922402372</v>
      </c>
    </row>
    <row r="180" ht="15.75" customHeight="1">
      <c r="A180" s="40" t="s">
        <v>44</v>
      </c>
      <c r="B180" s="33"/>
      <c r="C180" s="33"/>
      <c r="D180" s="33"/>
      <c r="E180" s="33"/>
      <c r="F180" s="33"/>
      <c r="G180" s="33"/>
      <c r="H180" s="33"/>
      <c r="I180" s="34"/>
      <c r="K180" s="43"/>
    </row>
    <row r="181" ht="15.75" customHeight="1">
      <c r="A181" s="41" t="s">
        <v>109</v>
      </c>
      <c r="B181" s="42">
        <v>271.0</v>
      </c>
      <c r="C181" s="42">
        <v>1180.0</v>
      </c>
      <c r="D181" s="42">
        <v>1528.0</v>
      </c>
      <c r="E181" s="42">
        <v>2166.0</v>
      </c>
      <c r="F181" s="42">
        <v>2146.0</v>
      </c>
      <c r="G181" s="42">
        <v>2083.0</v>
      </c>
      <c r="H181" s="42">
        <v>2750.0</v>
      </c>
      <c r="I181" s="42">
        <v>12124.0</v>
      </c>
      <c r="K181" s="43">
        <f t="shared" ref="K181:K183" si="44">((G181+H181)/I181)</f>
        <v>0.3986308149</v>
      </c>
    </row>
    <row r="182" ht="15.75" customHeight="1">
      <c r="A182" s="41" t="s">
        <v>110</v>
      </c>
      <c r="B182" s="44" t="s">
        <v>112</v>
      </c>
      <c r="C182" s="42">
        <v>797.0</v>
      </c>
      <c r="D182" s="42">
        <v>1105.0</v>
      </c>
      <c r="E182" s="42">
        <v>1481.0</v>
      </c>
      <c r="F182" s="42">
        <v>1191.0</v>
      </c>
      <c r="G182" s="42">
        <v>845.0</v>
      </c>
      <c r="H182" s="42">
        <v>692.0</v>
      </c>
      <c r="I182" s="42">
        <v>6255.0</v>
      </c>
      <c r="K182" s="43">
        <f t="shared" si="44"/>
        <v>0.2457234213</v>
      </c>
    </row>
    <row r="183" ht="15.75" customHeight="1">
      <c r="A183" s="41" t="s">
        <v>111</v>
      </c>
      <c r="B183" s="44" t="s">
        <v>112</v>
      </c>
      <c r="C183" s="42">
        <v>383.0</v>
      </c>
      <c r="D183" s="42">
        <v>423.0</v>
      </c>
      <c r="E183" s="42">
        <v>685.0</v>
      </c>
      <c r="F183" s="42">
        <v>955.0</v>
      </c>
      <c r="G183" s="42">
        <v>1238.0</v>
      </c>
      <c r="H183" s="42">
        <v>2058.0</v>
      </c>
      <c r="I183" s="42">
        <v>5869.0</v>
      </c>
      <c r="K183" s="43">
        <f t="shared" si="44"/>
        <v>0.5615948202</v>
      </c>
    </row>
    <row r="184" ht="15.75" customHeight="1">
      <c r="A184" s="40" t="s">
        <v>55</v>
      </c>
      <c r="B184" s="33"/>
      <c r="C184" s="33"/>
      <c r="D184" s="33"/>
      <c r="E184" s="33"/>
      <c r="F184" s="33"/>
      <c r="G184" s="33"/>
      <c r="H184" s="33"/>
      <c r="I184" s="34"/>
      <c r="K184" s="43"/>
    </row>
    <row r="185" ht="15.75" customHeight="1">
      <c r="A185" s="41" t="s">
        <v>109</v>
      </c>
      <c r="B185" s="42">
        <v>4846.0</v>
      </c>
      <c r="C185" s="42">
        <v>11066.0</v>
      </c>
      <c r="D185" s="42">
        <v>15821.0</v>
      </c>
      <c r="E185" s="42">
        <v>11871.0</v>
      </c>
      <c r="F185" s="42">
        <v>13564.0</v>
      </c>
      <c r="G185" s="42">
        <v>15463.0</v>
      </c>
      <c r="H185" s="42">
        <v>13902.0</v>
      </c>
      <c r="I185" s="42">
        <v>86534.0</v>
      </c>
      <c r="K185" s="43">
        <f t="shared" ref="K185:K187" si="45">((G185+H185)/I185)</f>
        <v>0.3393463841</v>
      </c>
    </row>
    <row r="186" ht="15.75" customHeight="1">
      <c r="A186" s="41" t="s">
        <v>110</v>
      </c>
      <c r="B186" s="42">
        <v>2222.0</v>
      </c>
      <c r="C186" s="42">
        <v>5823.0</v>
      </c>
      <c r="D186" s="42">
        <v>12567.0</v>
      </c>
      <c r="E186" s="42">
        <v>7554.0</v>
      </c>
      <c r="F186" s="42">
        <v>7150.0</v>
      </c>
      <c r="G186" s="42">
        <v>4816.0</v>
      </c>
      <c r="H186" s="42">
        <v>2853.0</v>
      </c>
      <c r="I186" s="42">
        <v>42985.0</v>
      </c>
      <c r="K186" s="43">
        <f t="shared" si="45"/>
        <v>0.1784110736</v>
      </c>
    </row>
    <row r="187" ht="15.75" customHeight="1">
      <c r="A187" s="41" t="s">
        <v>111</v>
      </c>
      <c r="B187" s="42">
        <v>2624.0</v>
      </c>
      <c r="C187" s="42">
        <v>5243.0</v>
      </c>
      <c r="D187" s="42">
        <v>3254.0</v>
      </c>
      <c r="E187" s="42">
        <v>4318.0</v>
      </c>
      <c r="F187" s="42">
        <v>6414.0</v>
      </c>
      <c r="G187" s="42">
        <v>10647.0</v>
      </c>
      <c r="H187" s="42">
        <v>11049.0</v>
      </c>
      <c r="I187" s="42">
        <v>43549.0</v>
      </c>
      <c r="K187" s="43">
        <f t="shared" si="45"/>
        <v>0.4981974328</v>
      </c>
    </row>
    <row r="188" ht="15.75" customHeight="1">
      <c r="A188" s="40" t="s">
        <v>33</v>
      </c>
      <c r="B188" s="33"/>
      <c r="C188" s="33"/>
      <c r="D188" s="33"/>
      <c r="E188" s="33"/>
      <c r="F188" s="33"/>
      <c r="G188" s="33"/>
      <c r="H188" s="33"/>
      <c r="I188" s="34"/>
      <c r="K188" s="43"/>
    </row>
    <row r="189" ht="15.75" customHeight="1">
      <c r="A189" s="41" t="s">
        <v>109</v>
      </c>
      <c r="B189" s="42">
        <v>976.0</v>
      </c>
      <c r="C189" s="42">
        <v>1755.0</v>
      </c>
      <c r="D189" s="42">
        <v>2078.0</v>
      </c>
      <c r="E189" s="42">
        <v>2101.0</v>
      </c>
      <c r="F189" s="42">
        <v>2562.0</v>
      </c>
      <c r="G189" s="42">
        <v>3028.0</v>
      </c>
      <c r="H189" s="42">
        <v>3413.0</v>
      </c>
      <c r="I189" s="42">
        <v>15912.0</v>
      </c>
      <c r="K189" s="43">
        <f t="shared" ref="K189:K191" si="46">((G189+H189)/I189)</f>
        <v>0.4047888386</v>
      </c>
    </row>
    <row r="190" ht="15.75" customHeight="1">
      <c r="A190" s="41" t="s">
        <v>110</v>
      </c>
      <c r="B190" s="42">
        <v>581.0</v>
      </c>
      <c r="C190" s="42">
        <v>1344.0</v>
      </c>
      <c r="D190" s="42">
        <v>1670.0</v>
      </c>
      <c r="E190" s="42">
        <v>1358.0</v>
      </c>
      <c r="F190" s="42">
        <v>1437.0</v>
      </c>
      <c r="G190" s="42">
        <v>1284.0</v>
      </c>
      <c r="H190" s="42">
        <v>1095.0</v>
      </c>
      <c r="I190" s="42">
        <v>8771.0</v>
      </c>
      <c r="K190" s="43">
        <f t="shared" si="46"/>
        <v>0.2712347509</v>
      </c>
    </row>
    <row r="191" ht="15.75" customHeight="1">
      <c r="A191" s="41" t="s">
        <v>111</v>
      </c>
      <c r="B191" s="42">
        <v>395.0</v>
      </c>
      <c r="C191" s="42">
        <v>411.0</v>
      </c>
      <c r="D191" s="42">
        <v>408.0</v>
      </c>
      <c r="E191" s="42">
        <v>743.0</v>
      </c>
      <c r="F191" s="42">
        <v>1125.0</v>
      </c>
      <c r="G191" s="42">
        <v>1744.0</v>
      </c>
      <c r="H191" s="42">
        <v>2317.0</v>
      </c>
      <c r="I191" s="42">
        <v>7141.0</v>
      </c>
      <c r="K191" s="43">
        <f t="shared" si="46"/>
        <v>0.5686878588</v>
      </c>
    </row>
    <row r="192" ht="15.75" customHeight="1">
      <c r="A192" s="40" t="s">
        <v>41</v>
      </c>
      <c r="B192" s="33"/>
      <c r="C192" s="33"/>
      <c r="D192" s="33"/>
      <c r="E192" s="33"/>
      <c r="F192" s="33"/>
      <c r="G192" s="33"/>
      <c r="H192" s="33"/>
      <c r="I192" s="34"/>
      <c r="K192" s="43"/>
    </row>
    <row r="193" ht="15.75" customHeight="1">
      <c r="A193" s="41" t="s">
        <v>109</v>
      </c>
      <c r="B193" s="42">
        <v>3835.0</v>
      </c>
      <c r="C193" s="42">
        <v>6375.0</v>
      </c>
      <c r="D193" s="42">
        <v>12195.0</v>
      </c>
      <c r="E193" s="42">
        <v>7625.0</v>
      </c>
      <c r="F193" s="42">
        <v>8093.0</v>
      </c>
      <c r="G193" s="42">
        <v>10882.0</v>
      </c>
      <c r="H193" s="42">
        <v>12421.0</v>
      </c>
      <c r="I193" s="42">
        <v>61427.0</v>
      </c>
      <c r="K193" s="43">
        <f t="shared" ref="K193:K195" si="47">((G193+H193)/I193)</f>
        <v>0.3793608674</v>
      </c>
    </row>
    <row r="194" ht="15.75" customHeight="1">
      <c r="A194" s="41" t="s">
        <v>110</v>
      </c>
      <c r="B194" s="42">
        <v>2393.0</v>
      </c>
      <c r="C194" s="42">
        <v>2394.0</v>
      </c>
      <c r="D194" s="42">
        <v>10397.0</v>
      </c>
      <c r="E194" s="42">
        <v>5161.0</v>
      </c>
      <c r="F194" s="42">
        <v>4171.0</v>
      </c>
      <c r="G194" s="42">
        <v>3341.0</v>
      </c>
      <c r="H194" s="42">
        <v>3547.0</v>
      </c>
      <c r="I194" s="42">
        <v>31403.0</v>
      </c>
      <c r="K194" s="43">
        <f t="shared" si="47"/>
        <v>0.2193421011</v>
      </c>
    </row>
    <row r="195" ht="15.75" customHeight="1">
      <c r="A195" s="41" t="s">
        <v>111</v>
      </c>
      <c r="B195" s="42">
        <v>1442.0</v>
      </c>
      <c r="C195" s="42">
        <v>3982.0</v>
      </c>
      <c r="D195" s="42">
        <v>1798.0</v>
      </c>
      <c r="E195" s="42">
        <v>2464.0</v>
      </c>
      <c r="F195" s="42">
        <v>3923.0</v>
      </c>
      <c r="G195" s="42">
        <v>7541.0</v>
      </c>
      <c r="H195" s="42">
        <v>8875.0</v>
      </c>
      <c r="I195" s="42">
        <v>30024.0</v>
      </c>
      <c r="K195" s="43">
        <f t="shared" si="47"/>
        <v>0.5467625899</v>
      </c>
    </row>
    <row r="196" ht="15.75" customHeight="1">
      <c r="A196" s="40" t="s">
        <v>56</v>
      </c>
      <c r="B196" s="33"/>
      <c r="C196" s="33"/>
      <c r="D196" s="33"/>
      <c r="E196" s="33"/>
      <c r="F196" s="33"/>
      <c r="G196" s="33"/>
      <c r="H196" s="33"/>
      <c r="I196" s="34"/>
      <c r="K196" s="43"/>
    </row>
    <row r="197" ht="15.75" customHeight="1">
      <c r="A197" s="41" t="s">
        <v>109</v>
      </c>
      <c r="B197" s="42">
        <v>11249.0</v>
      </c>
      <c r="C197" s="42">
        <v>35594.0</v>
      </c>
      <c r="D197" s="42">
        <v>43802.0</v>
      </c>
      <c r="E197" s="42">
        <v>41274.0</v>
      </c>
      <c r="F197" s="42">
        <v>51850.0</v>
      </c>
      <c r="G197" s="42">
        <v>48457.0</v>
      </c>
      <c r="H197" s="42">
        <v>52132.0</v>
      </c>
      <c r="I197" s="42">
        <v>284357.0</v>
      </c>
      <c r="K197" s="43">
        <f t="shared" ref="K197:K199" si="48">((G197+H197)/I197)</f>
        <v>0.3537419511</v>
      </c>
    </row>
    <row r="198" ht="15.75" customHeight="1">
      <c r="A198" s="41" t="s">
        <v>110</v>
      </c>
      <c r="B198" s="42">
        <v>5905.0</v>
      </c>
      <c r="C198" s="42">
        <v>18686.0</v>
      </c>
      <c r="D198" s="42">
        <v>28983.0</v>
      </c>
      <c r="E198" s="42">
        <v>24688.0</v>
      </c>
      <c r="F198" s="42">
        <v>22244.0</v>
      </c>
      <c r="G198" s="42">
        <v>13314.0</v>
      </c>
      <c r="H198" s="42">
        <v>13536.0</v>
      </c>
      <c r="I198" s="42">
        <v>127357.0</v>
      </c>
      <c r="K198" s="43">
        <f t="shared" si="48"/>
        <v>0.2108246897</v>
      </c>
    </row>
    <row r="199" ht="15.75" customHeight="1">
      <c r="A199" s="41" t="s">
        <v>111</v>
      </c>
      <c r="B199" s="42">
        <v>5344.0</v>
      </c>
      <c r="C199" s="42">
        <v>16907.0</v>
      </c>
      <c r="D199" s="42">
        <v>14819.0</v>
      </c>
      <c r="E199" s="42">
        <v>16586.0</v>
      </c>
      <c r="F199" s="42">
        <v>29606.0</v>
      </c>
      <c r="G199" s="42">
        <v>35143.0</v>
      </c>
      <c r="H199" s="42">
        <v>38597.0</v>
      </c>
      <c r="I199" s="42">
        <v>157000.0</v>
      </c>
      <c r="K199" s="43">
        <f t="shared" si="48"/>
        <v>0.4696815287</v>
      </c>
    </row>
    <row r="200" ht="15.75" customHeight="1">
      <c r="A200" s="40" t="s">
        <v>49</v>
      </c>
      <c r="B200" s="33"/>
      <c r="C200" s="33"/>
      <c r="D200" s="33"/>
      <c r="E200" s="33"/>
      <c r="F200" s="33"/>
      <c r="G200" s="33"/>
      <c r="H200" s="33"/>
      <c r="I200" s="34"/>
      <c r="K200" s="43"/>
    </row>
    <row r="201" ht="15.75" customHeight="1">
      <c r="A201" s="41" t="s">
        <v>109</v>
      </c>
      <c r="B201" s="42">
        <v>1862.0</v>
      </c>
      <c r="C201" s="42">
        <v>6619.0</v>
      </c>
      <c r="D201" s="42">
        <v>11031.0</v>
      </c>
      <c r="E201" s="42">
        <v>10573.0</v>
      </c>
      <c r="F201" s="42">
        <v>11217.0</v>
      </c>
      <c r="G201" s="42">
        <v>11325.0</v>
      </c>
      <c r="H201" s="42">
        <v>11404.0</v>
      </c>
      <c r="I201" s="42">
        <v>64031.0</v>
      </c>
      <c r="K201" s="43">
        <f t="shared" ref="K201:K203" si="49">((G201+H201)/I201)</f>
        <v>0.354968687</v>
      </c>
    </row>
    <row r="202" ht="15.75" customHeight="1">
      <c r="A202" s="41" t="s">
        <v>110</v>
      </c>
      <c r="B202" s="44" t="s">
        <v>112</v>
      </c>
      <c r="C202" s="42">
        <v>4726.0</v>
      </c>
      <c r="D202" s="42">
        <v>6428.0</v>
      </c>
      <c r="E202" s="42">
        <v>6995.0</v>
      </c>
      <c r="F202" s="42">
        <v>4000.0</v>
      </c>
      <c r="G202" s="42">
        <v>3015.0</v>
      </c>
      <c r="H202" s="42">
        <v>3140.0</v>
      </c>
      <c r="I202" s="42">
        <v>29243.0</v>
      </c>
      <c r="K202" s="43">
        <f t="shared" si="49"/>
        <v>0.2104777212</v>
      </c>
    </row>
    <row r="203" ht="15.75" customHeight="1">
      <c r="A203" s="41" t="s">
        <v>111</v>
      </c>
      <c r="B203" s="42">
        <v>924.0</v>
      </c>
      <c r="C203" s="42">
        <v>1893.0</v>
      </c>
      <c r="D203" s="42">
        <v>4602.0</v>
      </c>
      <c r="E203" s="42">
        <v>3578.0</v>
      </c>
      <c r="F203" s="42">
        <v>7217.0</v>
      </c>
      <c r="G203" s="42">
        <v>8310.0</v>
      </c>
      <c r="H203" s="42">
        <v>8264.0</v>
      </c>
      <c r="I203" s="42">
        <v>34788.0</v>
      </c>
      <c r="K203" s="43">
        <f t="shared" si="49"/>
        <v>0.4764286536</v>
      </c>
    </row>
    <row r="204" ht="15.75" customHeight="1">
      <c r="A204" s="40" t="s">
        <v>48</v>
      </c>
      <c r="B204" s="33"/>
      <c r="C204" s="33"/>
      <c r="D204" s="33"/>
      <c r="E204" s="33"/>
      <c r="F204" s="33"/>
      <c r="G204" s="33"/>
      <c r="H204" s="33"/>
      <c r="I204" s="34"/>
      <c r="K204" s="43"/>
    </row>
    <row r="205" ht="15.75" customHeight="1">
      <c r="A205" s="41" t="s">
        <v>109</v>
      </c>
      <c r="B205" s="42">
        <v>989.0</v>
      </c>
      <c r="C205" s="42">
        <v>3045.0</v>
      </c>
      <c r="D205" s="42">
        <v>2781.0</v>
      </c>
      <c r="E205" s="42">
        <v>2839.0</v>
      </c>
      <c r="F205" s="42">
        <v>4861.0</v>
      </c>
      <c r="G205" s="42">
        <v>3812.0</v>
      </c>
      <c r="H205" s="42">
        <v>6288.0</v>
      </c>
      <c r="I205" s="42">
        <v>24616.0</v>
      </c>
      <c r="K205" s="43">
        <f t="shared" ref="K205:K207" si="50">((G205+H205)/I205)</f>
        <v>0.4103022424</v>
      </c>
    </row>
    <row r="206" ht="15.75" customHeight="1">
      <c r="A206" s="41" t="s">
        <v>110</v>
      </c>
      <c r="B206" s="42">
        <v>315.0</v>
      </c>
      <c r="C206" s="42">
        <v>1922.0</v>
      </c>
      <c r="D206" s="42">
        <v>2139.0</v>
      </c>
      <c r="E206" s="42">
        <v>2039.0</v>
      </c>
      <c r="F206" s="42">
        <v>2297.0</v>
      </c>
      <c r="G206" s="42">
        <v>1412.0</v>
      </c>
      <c r="H206" s="42">
        <v>1776.0</v>
      </c>
      <c r="I206" s="42">
        <v>11899.0</v>
      </c>
      <c r="K206" s="43">
        <f t="shared" si="50"/>
        <v>0.2679216741</v>
      </c>
    </row>
    <row r="207" ht="15.75" customHeight="1">
      <c r="A207" s="41" t="s">
        <v>111</v>
      </c>
      <c r="B207" s="42">
        <v>674.0</v>
      </c>
      <c r="C207" s="42">
        <v>1124.0</v>
      </c>
      <c r="D207" s="42">
        <v>642.0</v>
      </c>
      <c r="E207" s="42">
        <v>800.0</v>
      </c>
      <c r="F207" s="42">
        <v>2565.0</v>
      </c>
      <c r="G207" s="42">
        <v>2400.0</v>
      </c>
      <c r="H207" s="42">
        <v>4512.0</v>
      </c>
      <c r="I207" s="42">
        <v>12717.0</v>
      </c>
      <c r="K207" s="43">
        <f t="shared" si="50"/>
        <v>0.5435244161</v>
      </c>
    </row>
    <row r="208" ht="15.75" customHeight="1">
      <c r="A208" s="40" t="s">
        <v>32</v>
      </c>
      <c r="B208" s="33"/>
      <c r="C208" s="33"/>
      <c r="D208" s="33"/>
      <c r="E208" s="33"/>
      <c r="F208" s="33"/>
      <c r="G208" s="33"/>
      <c r="H208" s="33"/>
      <c r="I208" s="34"/>
      <c r="K208" s="43"/>
    </row>
    <row r="209" ht="15.75" customHeight="1">
      <c r="A209" s="41" t="s">
        <v>109</v>
      </c>
      <c r="B209" s="42">
        <v>5171.0</v>
      </c>
      <c r="C209" s="42">
        <v>10255.0</v>
      </c>
      <c r="D209" s="42">
        <v>19075.0</v>
      </c>
      <c r="E209" s="42">
        <v>13538.0</v>
      </c>
      <c r="F209" s="42">
        <v>19998.0</v>
      </c>
      <c r="G209" s="42">
        <v>22116.0</v>
      </c>
      <c r="H209" s="42">
        <v>20764.0</v>
      </c>
      <c r="I209" s="42">
        <v>110916.0</v>
      </c>
      <c r="K209" s="43">
        <f t="shared" ref="K209:K211" si="51">((G209+H209)/I209)</f>
        <v>0.3865988676</v>
      </c>
    </row>
    <row r="210" ht="15.75" customHeight="1">
      <c r="A210" s="41" t="s">
        <v>110</v>
      </c>
      <c r="B210" s="42">
        <v>1738.0</v>
      </c>
      <c r="C210" s="42">
        <v>5477.0</v>
      </c>
      <c r="D210" s="42">
        <v>11877.0</v>
      </c>
      <c r="E210" s="42">
        <v>8186.0</v>
      </c>
      <c r="F210" s="42">
        <v>7877.0</v>
      </c>
      <c r="G210" s="42">
        <v>6245.0</v>
      </c>
      <c r="H210" s="42">
        <v>5242.0</v>
      </c>
      <c r="I210" s="42">
        <v>46643.0</v>
      </c>
      <c r="K210" s="43">
        <f t="shared" si="51"/>
        <v>0.2462748966</v>
      </c>
    </row>
    <row r="211" ht="15.75" customHeight="1">
      <c r="A211" s="41" t="s">
        <v>111</v>
      </c>
      <c r="B211" s="42">
        <v>3432.0</v>
      </c>
      <c r="C211" s="42">
        <v>4777.0</v>
      </c>
      <c r="D211" s="42">
        <v>7197.0</v>
      </c>
      <c r="E211" s="42">
        <v>5352.0</v>
      </c>
      <c r="F211" s="42">
        <v>12121.0</v>
      </c>
      <c r="G211" s="42">
        <v>15871.0</v>
      </c>
      <c r="H211" s="42">
        <v>15522.0</v>
      </c>
      <c r="I211" s="42">
        <v>64273.0</v>
      </c>
      <c r="K211" s="43">
        <f t="shared" si="51"/>
        <v>0.4884321566</v>
      </c>
    </row>
    <row r="212" ht="15.75" customHeight="1">
      <c r="A212" s="40" t="s">
        <v>70</v>
      </c>
      <c r="B212" s="33"/>
      <c r="C212" s="33"/>
      <c r="D212" s="33"/>
      <c r="E212" s="33"/>
      <c r="F212" s="33"/>
      <c r="G212" s="33"/>
      <c r="H212" s="33"/>
      <c r="I212" s="34"/>
      <c r="K212" s="43"/>
    </row>
    <row r="213" ht="15.75" customHeight="1">
      <c r="A213" s="41" t="s">
        <v>109</v>
      </c>
      <c r="B213" s="42">
        <v>316.0</v>
      </c>
      <c r="C213" s="42">
        <v>766.0</v>
      </c>
      <c r="D213" s="42">
        <v>828.0</v>
      </c>
      <c r="E213" s="42">
        <v>991.0</v>
      </c>
      <c r="F213" s="42">
        <v>1029.0</v>
      </c>
      <c r="G213" s="42">
        <v>885.0</v>
      </c>
      <c r="H213" s="42">
        <v>930.0</v>
      </c>
      <c r="I213" s="42">
        <v>5745.0</v>
      </c>
      <c r="K213" s="43">
        <f t="shared" ref="K213:K215" si="52">((G213+H213)/I213)</f>
        <v>0.315926893</v>
      </c>
    </row>
    <row r="214" ht="15.75" customHeight="1">
      <c r="A214" s="41" t="s">
        <v>110</v>
      </c>
      <c r="B214" s="42">
        <v>192.0</v>
      </c>
      <c r="C214" s="42">
        <v>660.0</v>
      </c>
      <c r="D214" s="42">
        <v>654.0</v>
      </c>
      <c r="E214" s="42">
        <v>741.0</v>
      </c>
      <c r="F214" s="42">
        <v>571.0</v>
      </c>
      <c r="G214" s="42">
        <v>333.0</v>
      </c>
      <c r="H214" s="42">
        <v>184.0</v>
      </c>
      <c r="I214" s="42">
        <v>3336.0</v>
      </c>
      <c r="K214" s="43">
        <f t="shared" si="52"/>
        <v>0.1549760192</v>
      </c>
    </row>
    <row r="215" ht="15.75" customHeight="1">
      <c r="A215" s="41" t="s">
        <v>111</v>
      </c>
      <c r="B215" s="42">
        <v>124.0</v>
      </c>
      <c r="C215" s="42">
        <v>106.0</v>
      </c>
      <c r="D215" s="42">
        <v>174.0</v>
      </c>
      <c r="E215" s="42">
        <v>250.0</v>
      </c>
      <c r="F215" s="42">
        <v>457.0</v>
      </c>
      <c r="G215" s="42">
        <v>551.0</v>
      </c>
      <c r="H215" s="42">
        <v>746.0</v>
      </c>
      <c r="I215" s="42">
        <v>2409.0</v>
      </c>
      <c r="K215" s="43">
        <f t="shared" si="52"/>
        <v>0.5383976754</v>
      </c>
    </row>
    <row r="216" ht="15.75" customHeight="1">
      <c r="A216" s="40" t="s">
        <v>71</v>
      </c>
      <c r="B216" s="33"/>
      <c r="C216" s="33"/>
      <c r="D216" s="33"/>
      <c r="E216" s="33"/>
      <c r="F216" s="33"/>
      <c r="G216" s="33"/>
      <c r="H216" s="33"/>
      <c r="I216" s="34"/>
      <c r="K216" s="43"/>
    </row>
    <row r="217" ht="15.75" customHeight="1">
      <c r="A217" s="41" t="s">
        <v>109</v>
      </c>
      <c r="B217" s="42">
        <v>656.0</v>
      </c>
      <c r="C217" s="42">
        <v>432.0</v>
      </c>
      <c r="D217" s="42">
        <v>477.0</v>
      </c>
      <c r="E217" s="42">
        <v>855.0</v>
      </c>
      <c r="F217" s="42">
        <v>895.0</v>
      </c>
      <c r="G217" s="42">
        <v>718.0</v>
      </c>
      <c r="H217" s="42">
        <v>1077.0</v>
      </c>
      <c r="I217" s="42">
        <v>5110.0</v>
      </c>
      <c r="K217" s="43">
        <f t="shared" ref="K217:K219" si="53">((G217+H217)/I217)</f>
        <v>0.3512720157</v>
      </c>
    </row>
    <row r="218" ht="15.75" customHeight="1">
      <c r="A218" s="41" t="s">
        <v>110</v>
      </c>
      <c r="B218" s="42">
        <v>407.0</v>
      </c>
      <c r="C218" s="42">
        <v>350.0</v>
      </c>
      <c r="D218" s="42">
        <v>340.0</v>
      </c>
      <c r="E218" s="42">
        <v>529.0</v>
      </c>
      <c r="F218" s="42">
        <v>509.0</v>
      </c>
      <c r="G218" s="42">
        <v>194.0</v>
      </c>
      <c r="H218" s="42">
        <v>277.0</v>
      </c>
      <c r="I218" s="42">
        <v>2606.0</v>
      </c>
      <c r="K218" s="43">
        <f t="shared" si="53"/>
        <v>0.1807367613</v>
      </c>
    </row>
    <row r="219" ht="15.75" customHeight="1">
      <c r="A219" s="41" t="s">
        <v>111</v>
      </c>
      <c r="B219" s="42">
        <v>249.0</v>
      </c>
      <c r="C219" s="42">
        <v>82.0</v>
      </c>
      <c r="D219" s="42">
        <v>137.0</v>
      </c>
      <c r="E219" s="42">
        <v>326.0</v>
      </c>
      <c r="F219" s="42">
        <v>386.0</v>
      </c>
      <c r="G219" s="42">
        <v>524.0</v>
      </c>
      <c r="H219" s="42">
        <v>800.0</v>
      </c>
      <c r="I219" s="42">
        <v>2504.0</v>
      </c>
      <c r="K219" s="43">
        <f t="shared" si="53"/>
        <v>0.5287539936</v>
      </c>
    </row>
    <row r="220" ht="15.75" customHeight="1"/>
    <row r="221" ht="15.75" customHeight="1"/>
    <row r="222" ht="15.75" customHeight="1">
      <c r="A222" s="45" t="s">
        <v>113</v>
      </c>
    </row>
    <row r="223" ht="15.75" customHeight="1">
      <c r="A223" s="46" t="s">
        <v>114</v>
      </c>
    </row>
    <row r="224" ht="15.75" customHeight="1"/>
    <row r="225" ht="15.75" customHeight="1">
      <c r="A225" s="45" t="s">
        <v>115</v>
      </c>
    </row>
    <row r="226" ht="15.75" customHeight="1">
      <c r="A226" s="46" t="s">
        <v>116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A212:I212"/>
    <mergeCell ref="A216:I216"/>
    <mergeCell ref="A184:I184"/>
    <mergeCell ref="A188:I188"/>
    <mergeCell ref="A192:I192"/>
    <mergeCell ref="A196:I196"/>
    <mergeCell ref="A200:I200"/>
    <mergeCell ref="A204:I204"/>
    <mergeCell ref="A208:I208"/>
    <mergeCell ref="A2:K2"/>
    <mergeCell ref="A3:K3"/>
    <mergeCell ref="A4:K4"/>
    <mergeCell ref="A5:K5"/>
    <mergeCell ref="A6:K6"/>
    <mergeCell ref="A8:I8"/>
    <mergeCell ref="A12:I12"/>
    <mergeCell ref="A16:I16"/>
    <mergeCell ref="A20:I20"/>
    <mergeCell ref="A24:I24"/>
    <mergeCell ref="A28:I28"/>
    <mergeCell ref="A32:I32"/>
    <mergeCell ref="A36:I36"/>
    <mergeCell ref="A40:I40"/>
    <mergeCell ref="A44:I44"/>
    <mergeCell ref="A48:I48"/>
    <mergeCell ref="A52:I52"/>
    <mergeCell ref="A56:I56"/>
    <mergeCell ref="A60:I60"/>
    <mergeCell ref="A64:I64"/>
    <mergeCell ref="A68:I68"/>
    <mergeCell ref="A72:I72"/>
    <mergeCell ref="A76:I76"/>
    <mergeCell ref="A80:I80"/>
    <mergeCell ref="A84:I84"/>
    <mergeCell ref="A88:I88"/>
    <mergeCell ref="A92:I92"/>
    <mergeCell ref="A96:I96"/>
    <mergeCell ref="A100:I100"/>
    <mergeCell ref="A104:I104"/>
    <mergeCell ref="A108:I108"/>
    <mergeCell ref="A112:I112"/>
    <mergeCell ref="A116:I116"/>
    <mergeCell ref="A120:I120"/>
    <mergeCell ref="A124:I124"/>
    <mergeCell ref="A128:I128"/>
    <mergeCell ref="A132:I132"/>
    <mergeCell ref="A136:I136"/>
    <mergeCell ref="A140:I140"/>
    <mergeCell ref="A144:I144"/>
    <mergeCell ref="A148:I148"/>
    <mergeCell ref="A152:I152"/>
    <mergeCell ref="A156:I156"/>
    <mergeCell ref="A160:I160"/>
    <mergeCell ref="A164:I164"/>
    <mergeCell ref="A168:I168"/>
    <mergeCell ref="A172:I172"/>
    <mergeCell ref="A176:I176"/>
    <mergeCell ref="A180:I18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13"/>
    <col customWidth="1" min="2" max="17" width="19.5"/>
  </cols>
  <sheetData>
    <row r="1" ht="14.25" customHeight="1">
      <c r="A1" s="47" t="s">
        <v>117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ht="14.25" customHeight="1">
      <c r="A2" s="32" t="s">
        <v>118</v>
      </c>
      <c r="B2" s="33"/>
      <c r="C2" s="33"/>
      <c r="D2" s="33"/>
      <c r="E2" s="33"/>
      <c r="F2" s="33"/>
      <c r="G2" s="33"/>
      <c r="H2" s="33"/>
      <c r="I2" s="33"/>
      <c r="J2" s="33"/>
      <c r="K2" s="34"/>
    </row>
    <row r="3" ht="14.25" customHeight="1">
      <c r="A3" s="35"/>
      <c r="B3" s="33"/>
      <c r="C3" s="33"/>
      <c r="D3" s="33"/>
      <c r="E3" s="33"/>
      <c r="F3" s="33"/>
      <c r="G3" s="33"/>
      <c r="H3" s="33"/>
      <c r="I3" s="33"/>
      <c r="J3" s="33"/>
      <c r="K3" s="34"/>
    </row>
    <row r="4" ht="14.25" customHeight="1">
      <c r="A4" s="36" t="s">
        <v>119</v>
      </c>
      <c r="B4" s="33"/>
      <c r="C4" s="33"/>
      <c r="D4" s="33"/>
      <c r="E4" s="33"/>
      <c r="F4" s="33"/>
      <c r="G4" s="33"/>
      <c r="H4" s="33"/>
      <c r="I4" s="33"/>
      <c r="J4" s="33"/>
      <c r="K4" s="34"/>
    </row>
    <row r="5" ht="14.25" customHeight="1">
      <c r="A5" s="37" t="s">
        <v>120</v>
      </c>
      <c r="B5" s="33"/>
      <c r="C5" s="33"/>
      <c r="D5" s="33"/>
      <c r="E5" s="33"/>
      <c r="F5" s="33"/>
      <c r="G5" s="33"/>
      <c r="H5" s="33"/>
      <c r="I5" s="33"/>
      <c r="J5" s="33"/>
      <c r="K5" s="34"/>
    </row>
    <row r="6" ht="14.25" customHeight="1">
      <c r="A6" s="35"/>
      <c r="B6" s="33"/>
      <c r="C6" s="33"/>
      <c r="D6" s="33"/>
      <c r="E6" s="33"/>
      <c r="F6" s="33"/>
      <c r="G6" s="33"/>
      <c r="H6" s="33"/>
      <c r="I6" s="33"/>
      <c r="J6" s="33"/>
      <c r="K6" s="34"/>
    </row>
    <row r="7" ht="14.25" customHeight="1">
      <c r="A7" s="38" t="s">
        <v>99</v>
      </c>
      <c r="B7" s="39" t="s">
        <v>19</v>
      </c>
      <c r="C7" s="39" t="s">
        <v>18</v>
      </c>
      <c r="D7" s="39" t="s">
        <v>17</v>
      </c>
      <c r="E7" s="39" t="s">
        <v>16</v>
      </c>
      <c r="F7" s="39" t="s">
        <v>15</v>
      </c>
      <c r="G7" s="39" t="s">
        <v>14</v>
      </c>
      <c r="H7" s="39" t="s">
        <v>13</v>
      </c>
      <c r="I7" s="39" t="s">
        <v>12</v>
      </c>
      <c r="J7" s="39" t="s">
        <v>11</v>
      </c>
      <c r="K7" s="39" t="s">
        <v>10</v>
      </c>
      <c r="L7" s="39" t="s">
        <v>9</v>
      </c>
      <c r="M7" s="39" t="s">
        <v>8</v>
      </c>
      <c r="N7" s="39" t="s">
        <v>7</v>
      </c>
      <c r="O7" s="39" t="s">
        <v>6</v>
      </c>
      <c r="P7" s="39" t="s">
        <v>5</v>
      </c>
      <c r="Q7" s="39" t="s">
        <v>4</v>
      </c>
    </row>
    <row r="8" ht="14.25" customHeight="1">
      <c r="A8" s="40" t="s">
        <v>20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4"/>
    </row>
    <row r="9" ht="14.25" customHeight="1">
      <c r="A9" s="41" t="s">
        <v>121</v>
      </c>
      <c r="B9" s="42">
        <v>2.3001927E7</v>
      </c>
      <c r="C9" s="42">
        <v>2.2838031E7</v>
      </c>
      <c r="D9" s="42">
        <v>2.2667026E7</v>
      </c>
      <c r="E9" s="42">
        <v>2.2489804E7</v>
      </c>
      <c r="F9" s="42">
        <v>2.2307244E7</v>
      </c>
      <c r="G9" s="42">
        <v>2.2118643E7</v>
      </c>
      <c r="H9" s="42">
        <v>2.1922903E7</v>
      </c>
      <c r="I9" s="42">
        <v>2.171214E7</v>
      </c>
      <c r="J9" s="42">
        <v>2.1487754E7</v>
      </c>
      <c r="K9" s="42">
        <v>2.1244779E7</v>
      </c>
      <c r="L9" s="42">
        <v>2.0977839E7</v>
      </c>
      <c r="M9" s="42">
        <v>2.0681965E7</v>
      </c>
      <c r="N9" s="42">
        <v>2.0364411E7</v>
      </c>
      <c r="O9" s="42">
        <v>2.0026547E7</v>
      </c>
      <c r="P9" s="42">
        <v>1.9671198E7</v>
      </c>
      <c r="Q9" s="42">
        <v>1.9310776E7</v>
      </c>
    </row>
    <row r="10" ht="14.25" customHeight="1">
      <c r="A10" s="41" t="s">
        <v>122</v>
      </c>
      <c r="B10" s="42">
        <v>7708869.0</v>
      </c>
      <c r="C10" s="42">
        <v>7582691.0</v>
      </c>
      <c r="D10" s="42">
        <v>7451795.0</v>
      </c>
      <c r="E10" s="42">
        <v>7318562.0</v>
      </c>
      <c r="F10" s="42">
        <v>7183233.0</v>
      </c>
      <c r="G10" s="42">
        <v>7046473.0</v>
      </c>
      <c r="H10" s="42">
        <v>6907696.0</v>
      </c>
      <c r="I10" s="42">
        <v>6762485.0</v>
      </c>
      <c r="J10" s="42">
        <v>6615200.0</v>
      </c>
      <c r="K10" s="42">
        <v>6463401.0</v>
      </c>
      <c r="L10" s="42">
        <v>6303421.0</v>
      </c>
      <c r="M10" s="42">
        <v>6132953.0</v>
      </c>
      <c r="N10" s="42">
        <v>5961960.0</v>
      </c>
      <c r="O10" s="42">
        <v>5789248.0</v>
      </c>
      <c r="P10" s="42">
        <v>5611451.0</v>
      </c>
      <c r="Q10" s="42">
        <v>5433969.0</v>
      </c>
    </row>
    <row r="11" ht="14.25" customHeight="1">
      <c r="A11" s="41" t="s">
        <v>123</v>
      </c>
      <c r="B11" s="42">
        <v>7202370.0</v>
      </c>
      <c r="C11" s="42">
        <v>7122347.0</v>
      </c>
      <c r="D11" s="42">
        <v>7037709.0</v>
      </c>
      <c r="E11" s="42">
        <v>6947721.0</v>
      </c>
      <c r="F11" s="42">
        <v>6855160.0</v>
      </c>
      <c r="G11" s="42">
        <v>6759871.0</v>
      </c>
      <c r="H11" s="42">
        <v>6663567.0</v>
      </c>
      <c r="I11" s="42">
        <v>6561871.0</v>
      </c>
      <c r="J11" s="42">
        <v>6455648.0</v>
      </c>
      <c r="K11" s="42">
        <v>6344058.0</v>
      </c>
      <c r="L11" s="42">
        <v>6226729.0</v>
      </c>
      <c r="M11" s="42">
        <v>6101831.0</v>
      </c>
      <c r="N11" s="42">
        <v>5970254.0</v>
      </c>
      <c r="O11" s="42">
        <v>5834480.0</v>
      </c>
      <c r="P11" s="42">
        <v>5695627.0</v>
      </c>
      <c r="Q11" s="42">
        <v>5554171.0</v>
      </c>
    </row>
    <row r="12" ht="14.25" customHeight="1">
      <c r="A12" s="41" t="s">
        <v>124</v>
      </c>
      <c r="B12" s="42">
        <v>3911568.0</v>
      </c>
      <c r="C12" s="42">
        <v>3926621.0</v>
      </c>
      <c r="D12" s="42">
        <v>3941358.0</v>
      </c>
      <c r="E12" s="42">
        <v>3955399.0</v>
      </c>
      <c r="F12" s="42">
        <v>3968280.0</v>
      </c>
      <c r="G12" s="42">
        <v>3979504.0</v>
      </c>
      <c r="H12" s="42">
        <v>3988675.0</v>
      </c>
      <c r="I12" s="42">
        <v>3995120.0</v>
      </c>
      <c r="J12" s="42">
        <v>3997563.0</v>
      </c>
      <c r="K12" s="42">
        <v>3995309.0</v>
      </c>
      <c r="L12" s="42">
        <v>3988031.0</v>
      </c>
      <c r="M12" s="42">
        <v>3974940.0</v>
      </c>
      <c r="N12" s="42">
        <v>3955340.0</v>
      </c>
      <c r="O12" s="42">
        <v>3929228.0</v>
      </c>
      <c r="P12" s="42">
        <v>3899122.0</v>
      </c>
      <c r="Q12" s="42">
        <v>3867242.0</v>
      </c>
    </row>
    <row r="13" ht="14.25" customHeight="1">
      <c r="A13" s="41" t="s">
        <v>125</v>
      </c>
      <c r="B13" s="42">
        <v>4179120.0</v>
      </c>
      <c r="C13" s="42">
        <v>4206372.0</v>
      </c>
      <c r="D13" s="42">
        <v>4236164.0</v>
      </c>
      <c r="E13" s="42">
        <v>4268122.0</v>
      </c>
      <c r="F13" s="42">
        <v>4300571.0</v>
      </c>
      <c r="G13" s="42">
        <v>4332795.0</v>
      </c>
      <c r="H13" s="42">
        <v>4362965.0</v>
      </c>
      <c r="I13" s="42">
        <v>4392664.0</v>
      </c>
      <c r="J13" s="42">
        <v>4419343.0</v>
      </c>
      <c r="K13" s="42">
        <v>4442011.0</v>
      </c>
      <c r="L13" s="42">
        <v>4459658.0</v>
      </c>
      <c r="M13" s="42">
        <v>4472241.0</v>
      </c>
      <c r="N13" s="42">
        <v>4476857.0</v>
      </c>
      <c r="O13" s="42">
        <v>4473591.0</v>
      </c>
      <c r="P13" s="42">
        <v>4464998.0</v>
      </c>
      <c r="Q13" s="42">
        <v>4455394.0</v>
      </c>
    </row>
    <row r="14" ht="14.25" customHeight="1">
      <c r="A14" s="41" t="s">
        <v>126</v>
      </c>
      <c r="B14" s="48">
        <v>2.32</v>
      </c>
      <c r="C14" s="48">
        <v>2.33</v>
      </c>
      <c r="D14" s="48">
        <v>2.34</v>
      </c>
      <c r="E14" s="48">
        <v>2.35</v>
      </c>
      <c r="F14" s="48">
        <v>2.36</v>
      </c>
      <c r="G14" s="48">
        <v>2.37</v>
      </c>
      <c r="H14" s="48">
        <v>2.38</v>
      </c>
      <c r="I14" s="48">
        <v>2.4</v>
      </c>
      <c r="J14" s="48">
        <v>2.41</v>
      </c>
      <c r="K14" s="48">
        <v>2.42</v>
      </c>
      <c r="L14" s="48">
        <v>2.43</v>
      </c>
      <c r="M14" s="48">
        <v>2.45</v>
      </c>
      <c r="N14" s="48">
        <v>2.46</v>
      </c>
      <c r="O14" s="48">
        <v>2.47</v>
      </c>
      <c r="P14" s="48">
        <v>2.49</v>
      </c>
      <c r="Q14" s="48">
        <v>2.5</v>
      </c>
    </row>
    <row r="15" ht="14.25" customHeight="1">
      <c r="A15" s="40" t="s">
        <v>76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4"/>
    </row>
    <row r="16" ht="14.25" customHeight="1">
      <c r="A16" s="41" t="s">
        <v>121</v>
      </c>
      <c r="B16" s="42">
        <v>4027872.0</v>
      </c>
      <c r="C16" s="42">
        <v>3998168.0</v>
      </c>
      <c r="D16" s="42">
        <v>3967189.0</v>
      </c>
      <c r="E16" s="42">
        <v>3935149.0</v>
      </c>
      <c r="F16" s="42">
        <v>3902257.0</v>
      </c>
      <c r="G16" s="42">
        <v>3868295.0</v>
      </c>
      <c r="H16" s="42">
        <v>3833061.0</v>
      </c>
      <c r="I16" s="42">
        <v>3795269.0</v>
      </c>
      <c r="J16" s="42">
        <v>3755318.0</v>
      </c>
      <c r="K16" s="42">
        <v>3712514.0</v>
      </c>
      <c r="L16" s="42">
        <v>3665514.0</v>
      </c>
      <c r="M16" s="42">
        <v>3613497.0</v>
      </c>
      <c r="N16" s="42">
        <v>3557773.0</v>
      </c>
      <c r="O16" s="42">
        <v>3499034.0</v>
      </c>
      <c r="P16" s="42">
        <v>3437071.0</v>
      </c>
      <c r="Q16" s="42">
        <v>3373700.0</v>
      </c>
    </row>
    <row r="17" ht="14.25" customHeight="1">
      <c r="A17" s="41" t="s">
        <v>122</v>
      </c>
      <c r="B17" s="42">
        <v>1329776.0</v>
      </c>
      <c r="C17" s="42">
        <v>1306426.0</v>
      </c>
      <c r="D17" s="42">
        <v>1282246.0</v>
      </c>
      <c r="E17" s="42">
        <v>1257728.0</v>
      </c>
      <c r="F17" s="42">
        <v>1232803.0</v>
      </c>
      <c r="G17" s="42">
        <v>1207555.0</v>
      </c>
      <c r="H17" s="42">
        <v>1181731.0</v>
      </c>
      <c r="I17" s="42">
        <v>1154689.0</v>
      </c>
      <c r="J17" s="42">
        <v>1127239.0</v>
      </c>
      <c r="K17" s="42">
        <v>1099254.0</v>
      </c>
      <c r="L17" s="42">
        <v>1069331.0</v>
      </c>
      <c r="M17" s="42">
        <v>1037113.0</v>
      </c>
      <c r="N17" s="42">
        <v>1004529.0</v>
      </c>
      <c r="O17" s="42">
        <v>971878.0</v>
      </c>
      <c r="P17" s="42">
        <v>937903.0</v>
      </c>
      <c r="Q17" s="42">
        <v>903822.0</v>
      </c>
    </row>
    <row r="18" ht="14.25" customHeight="1">
      <c r="A18" s="41" t="s">
        <v>123</v>
      </c>
      <c r="B18" s="42">
        <v>1262876.0</v>
      </c>
      <c r="C18" s="42">
        <v>1247265.0</v>
      </c>
      <c r="D18" s="42">
        <v>1230812.0</v>
      </c>
      <c r="E18" s="42">
        <v>1213395.0</v>
      </c>
      <c r="F18" s="42">
        <v>1195611.0</v>
      </c>
      <c r="G18" s="42">
        <v>1177277.0</v>
      </c>
      <c r="H18" s="42">
        <v>1158740.0</v>
      </c>
      <c r="I18" s="42">
        <v>1139172.0</v>
      </c>
      <c r="J18" s="42">
        <v>1118817.0</v>
      </c>
      <c r="K18" s="42">
        <v>1097358.0</v>
      </c>
      <c r="L18" s="42">
        <v>1074874.0</v>
      </c>
      <c r="M18" s="42">
        <v>1051016.0</v>
      </c>
      <c r="N18" s="42">
        <v>1025786.0</v>
      </c>
      <c r="O18" s="42">
        <v>999903.0</v>
      </c>
      <c r="P18" s="42">
        <v>973526.0</v>
      </c>
      <c r="Q18" s="42">
        <v>946351.0</v>
      </c>
    </row>
    <row r="19" ht="14.25" customHeight="1">
      <c r="A19" s="41" t="s">
        <v>124</v>
      </c>
      <c r="B19" s="42">
        <v>715490.0</v>
      </c>
      <c r="C19" s="42">
        <v>716738.0</v>
      </c>
      <c r="D19" s="42">
        <v>717875.0</v>
      </c>
      <c r="E19" s="42">
        <v>718773.0</v>
      </c>
      <c r="F19" s="42">
        <v>719462.0</v>
      </c>
      <c r="G19" s="42">
        <v>719850.0</v>
      </c>
      <c r="H19" s="42">
        <v>719962.0</v>
      </c>
      <c r="I19" s="42">
        <v>719626.0</v>
      </c>
      <c r="J19" s="42">
        <v>718628.0</v>
      </c>
      <c r="K19" s="42">
        <v>716845.0</v>
      </c>
      <c r="L19" s="42">
        <v>714348.0</v>
      </c>
      <c r="M19" s="42">
        <v>710975.0</v>
      </c>
      <c r="N19" s="42">
        <v>706655.0</v>
      </c>
      <c r="O19" s="42">
        <v>701234.0</v>
      </c>
      <c r="P19" s="42">
        <v>695282.0</v>
      </c>
      <c r="Q19" s="42">
        <v>689011.0</v>
      </c>
    </row>
    <row r="20" ht="14.25" customHeight="1">
      <c r="A20" s="41" t="s">
        <v>125</v>
      </c>
      <c r="B20" s="42">
        <v>719730.0</v>
      </c>
      <c r="C20" s="42">
        <v>727739.0</v>
      </c>
      <c r="D20" s="42">
        <v>736256.0</v>
      </c>
      <c r="E20" s="42">
        <v>745253.0</v>
      </c>
      <c r="F20" s="42">
        <v>754381.0</v>
      </c>
      <c r="G20" s="42">
        <v>763613.0</v>
      </c>
      <c r="H20" s="42">
        <v>772628.0</v>
      </c>
      <c r="I20" s="42">
        <v>781782.0</v>
      </c>
      <c r="J20" s="42">
        <v>790634.0</v>
      </c>
      <c r="K20" s="42">
        <v>799057.0</v>
      </c>
      <c r="L20" s="42">
        <v>806961.0</v>
      </c>
      <c r="M20" s="42">
        <v>814393.0</v>
      </c>
      <c r="N20" s="42">
        <v>820803.0</v>
      </c>
      <c r="O20" s="42">
        <v>826019.0</v>
      </c>
      <c r="P20" s="42">
        <v>830360.0</v>
      </c>
      <c r="Q20" s="42">
        <v>834516.0</v>
      </c>
    </row>
    <row r="21" ht="14.25" customHeight="1">
      <c r="A21" s="41" t="s">
        <v>126</v>
      </c>
      <c r="B21" s="48">
        <v>2.3</v>
      </c>
      <c r="C21" s="48">
        <v>2.31</v>
      </c>
      <c r="D21" s="48">
        <v>2.33</v>
      </c>
      <c r="E21" s="48">
        <v>2.34</v>
      </c>
      <c r="F21" s="48">
        <v>2.35</v>
      </c>
      <c r="G21" s="48">
        <v>2.37</v>
      </c>
      <c r="H21" s="48">
        <v>2.38</v>
      </c>
      <c r="I21" s="48">
        <v>2.4</v>
      </c>
      <c r="J21" s="48">
        <v>2.42</v>
      </c>
      <c r="K21" s="48">
        <v>2.43</v>
      </c>
      <c r="L21" s="48">
        <v>2.45</v>
      </c>
      <c r="M21" s="48">
        <v>2.47</v>
      </c>
      <c r="N21" s="48">
        <v>2.49</v>
      </c>
      <c r="O21" s="48">
        <v>2.51</v>
      </c>
      <c r="P21" s="48">
        <v>2.52</v>
      </c>
      <c r="Q21" s="48">
        <v>2.54</v>
      </c>
    </row>
    <row r="22" ht="14.25" customHeight="1">
      <c r="A22" s="40" t="s">
        <v>24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4"/>
    </row>
    <row r="23" ht="14.25" customHeight="1">
      <c r="A23" s="41" t="s">
        <v>121</v>
      </c>
      <c r="B23" s="42">
        <v>910811.0</v>
      </c>
      <c r="C23" s="42">
        <v>901533.0</v>
      </c>
      <c r="D23" s="42">
        <v>891947.0</v>
      </c>
      <c r="E23" s="42">
        <v>882094.0</v>
      </c>
      <c r="F23" s="42">
        <v>871931.0</v>
      </c>
      <c r="G23" s="42">
        <v>861388.0</v>
      </c>
      <c r="H23" s="42">
        <v>850328.0</v>
      </c>
      <c r="I23" s="42">
        <v>838417.0</v>
      </c>
      <c r="J23" s="42">
        <v>825684.0</v>
      </c>
      <c r="K23" s="42">
        <v>811873.0</v>
      </c>
      <c r="L23" s="42">
        <v>796629.0</v>
      </c>
      <c r="M23" s="42">
        <v>779738.0</v>
      </c>
      <c r="N23" s="42">
        <v>761251.0</v>
      </c>
      <c r="O23" s="42">
        <v>741414.0</v>
      </c>
      <c r="P23" s="42">
        <v>720380.0</v>
      </c>
      <c r="Q23" s="42">
        <v>698969.0</v>
      </c>
    </row>
    <row r="24" ht="14.25" customHeight="1">
      <c r="A24" s="41" t="s">
        <v>122</v>
      </c>
      <c r="B24" s="42">
        <v>294550.0</v>
      </c>
      <c r="C24" s="42">
        <v>289278.0</v>
      </c>
      <c r="D24" s="42">
        <v>283841.0</v>
      </c>
      <c r="E24" s="42">
        <v>278311.0</v>
      </c>
      <c r="F24" s="42">
        <v>272672.0</v>
      </c>
      <c r="G24" s="42">
        <v>266932.0</v>
      </c>
      <c r="H24" s="42">
        <v>261051.0</v>
      </c>
      <c r="I24" s="42">
        <v>254835.0</v>
      </c>
      <c r="J24" s="42">
        <v>248477.0</v>
      </c>
      <c r="K24" s="42">
        <v>241904.0</v>
      </c>
      <c r="L24" s="42">
        <v>234873.0</v>
      </c>
      <c r="M24" s="42">
        <v>227312.0</v>
      </c>
      <c r="N24" s="42">
        <v>219425.0</v>
      </c>
      <c r="O24" s="42">
        <v>211338.0</v>
      </c>
      <c r="P24" s="42">
        <v>202935.0</v>
      </c>
      <c r="Q24" s="42">
        <v>194560.0</v>
      </c>
    </row>
    <row r="25" ht="14.25" customHeight="1">
      <c r="A25" s="41" t="s">
        <v>123</v>
      </c>
      <c r="B25" s="42">
        <v>286802.0</v>
      </c>
      <c r="C25" s="42">
        <v>282451.0</v>
      </c>
      <c r="D25" s="42">
        <v>277932.0</v>
      </c>
      <c r="E25" s="42">
        <v>273268.0</v>
      </c>
      <c r="F25" s="42">
        <v>268487.0</v>
      </c>
      <c r="G25" s="42">
        <v>263581.0</v>
      </c>
      <c r="H25" s="42">
        <v>258524.0</v>
      </c>
      <c r="I25" s="42">
        <v>253200.0</v>
      </c>
      <c r="J25" s="42">
        <v>247645.0</v>
      </c>
      <c r="K25" s="42">
        <v>241784.0</v>
      </c>
      <c r="L25" s="42">
        <v>235561.0</v>
      </c>
      <c r="M25" s="42">
        <v>228923.0</v>
      </c>
      <c r="N25" s="42">
        <v>221804.0</v>
      </c>
      <c r="O25" s="42">
        <v>214393.0</v>
      </c>
      <c r="P25" s="42">
        <v>206725.0</v>
      </c>
      <c r="Q25" s="42">
        <v>198926.0</v>
      </c>
    </row>
    <row r="26" ht="14.25" customHeight="1">
      <c r="A26" s="41" t="s">
        <v>124</v>
      </c>
      <c r="B26" s="42">
        <v>162765.0</v>
      </c>
      <c r="C26" s="42">
        <v>162208.0</v>
      </c>
      <c r="D26" s="42">
        <v>161608.0</v>
      </c>
      <c r="E26" s="42">
        <v>160949.0</v>
      </c>
      <c r="F26" s="42">
        <v>160224.0</v>
      </c>
      <c r="G26" s="42">
        <v>159396.0</v>
      </c>
      <c r="H26" s="42">
        <v>158454.0</v>
      </c>
      <c r="I26" s="42">
        <v>157355.0</v>
      </c>
      <c r="J26" s="42">
        <v>156026.0</v>
      </c>
      <c r="K26" s="42">
        <v>154424.0</v>
      </c>
      <c r="L26" s="42">
        <v>152535.0</v>
      </c>
      <c r="M26" s="42">
        <v>150307.0</v>
      </c>
      <c r="N26" s="42">
        <v>147724.0</v>
      </c>
      <c r="O26" s="42">
        <v>144770.0</v>
      </c>
      <c r="P26" s="42">
        <v>141558.0</v>
      </c>
      <c r="Q26" s="42">
        <v>138234.0</v>
      </c>
    </row>
    <row r="27" ht="14.25" customHeight="1">
      <c r="A27" s="41" t="s">
        <v>125</v>
      </c>
      <c r="B27" s="42">
        <v>166694.0</v>
      </c>
      <c r="C27" s="42">
        <v>167596.0</v>
      </c>
      <c r="D27" s="42">
        <v>168566.0</v>
      </c>
      <c r="E27" s="42">
        <v>169566.0</v>
      </c>
      <c r="F27" s="42">
        <v>170548.0</v>
      </c>
      <c r="G27" s="42">
        <v>171479.0</v>
      </c>
      <c r="H27" s="42">
        <v>172299.0</v>
      </c>
      <c r="I27" s="42">
        <v>173027.0</v>
      </c>
      <c r="J27" s="42">
        <v>173536.0</v>
      </c>
      <c r="K27" s="42">
        <v>173761.0</v>
      </c>
      <c r="L27" s="42">
        <v>173660.0</v>
      </c>
      <c r="M27" s="42">
        <v>173196.0</v>
      </c>
      <c r="N27" s="42">
        <v>172298.0</v>
      </c>
      <c r="O27" s="42">
        <v>170913.0</v>
      </c>
      <c r="P27" s="42">
        <v>169162.0</v>
      </c>
      <c r="Q27" s="42">
        <v>167249.0</v>
      </c>
    </row>
    <row r="28" ht="14.25" customHeight="1">
      <c r="A28" s="41" t="s">
        <v>126</v>
      </c>
      <c r="B28" s="48">
        <v>2.34</v>
      </c>
      <c r="C28" s="48">
        <v>2.35</v>
      </c>
      <c r="D28" s="48">
        <v>2.36</v>
      </c>
      <c r="E28" s="48">
        <v>2.37</v>
      </c>
      <c r="F28" s="48">
        <v>2.39</v>
      </c>
      <c r="G28" s="48">
        <v>2.4</v>
      </c>
      <c r="H28" s="48">
        <v>2.41</v>
      </c>
      <c r="I28" s="48">
        <v>2.42</v>
      </c>
      <c r="J28" s="48">
        <v>2.43</v>
      </c>
      <c r="K28" s="48">
        <v>2.45</v>
      </c>
      <c r="L28" s="48">
        <v>2.46</v>
      </c>
      <c r="M28" s="48">
        <v>2.47</v>
      </c>
      <c r="N28" s="48">
        <v>2.48</v>
      </c>
      <c r="O28" s="48">
        <v>2.5</v>
      </c>
      <c r="P28" s="48">
        <v>2.51</v>
      </c>
      <c r="Q28" s="48">
        <v>2.52</v>
      </c>
    </row>
    <row r="29" ht="14.25" customHeight="1">
      <c r="A29" s="40" t="s">
        <v>25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4"/>
    </row>
    <row r="30" ht="14.25" customHeight="1">
      <c r="A30" s="41" t="s">
        <v>121</v>
      </c>
      <c r="B30" s="42">
        <v>265031.0</v>
      </c>
      <c r="C30" s="42">
        <v>264690.0</v>
      </c>
      <c r="D30" s="42">
        <v>264318.0</v>
      </c>
      <c r="E30" s="42">
        <v>263834.0</v>
      </c>
      <c r="F30" s="42">
        <v>263323.0</v>
      </c>
      <c r="G30" s="42">
        <v>262783.0</v>
      </c>
      <c r="H30" s="42">
        <v>262133.0</v>
      </c>
      <c r="I30" s="42">
        <v>261346.0</v>
      </c>
      <c r="J30" s="42">
        <v>260560.0</v>
      </c>
      <c r="K30" s="42">
        <v>259648.0</v>
      </c>
      <c r="L30" s="42">
        <v>258498.0</v>
      </c>
      <c r="M30" s="42">
        <v>257094.0</v>
      </c>
      <c r="N30" s="42">
        <v>255631.0</v>
      </c>
      <c r="O30" s="42">
        <v>254179.0</v>
      </c>
      <c r="P30" s="42">
        <v>252484.0</v>
      </c>
      <c r="Q30" s="42">
        <v>250644.0</v>
      </c>
    </row>
    <row r="31" ht="14.25" customHeight="1">
      <c r="A31" s="41" t="s">
        <v>122</v>
      </c>
      <c r="B31" s="42">
        <v>94569.0</v>
      </c>
      <c r="C31" s="42">
        <v>93228.0</v>
      </c>
      <c r="D31" s="42">
        <v>91904.0</v>
      </c>
      <c r="E31" s="42">
        <v>90517.0</v>
      </c>
      <c r="F31" s="42">
        <v>89152.0</v>
      </c>
      <c r="G31" s="42">
        <v>87784.0</v>
      </c>
      <c r="H31" s="42">
        <v>86316.0</v>
      </c>
      <c r="I31" s="42">
        <v>84765.0</v>
      </c>
      <c r="J31" s="42">
        <v>83312.0</v>
      </c>
      <c r="K31" s="42">
        <v>81807.0</v>
      </c>
      <c r="L31" s="42">
        <v>80088.0</v>
      </c>
      <c r="M31" s="42">
        <v>78173.0</v>
      </c>
      <c r="N31" s="42">
        <v>76335.0</v>
      </c>
      <c r="O31" s="42">
        <v>74595.0</v>
      </c>
      <c r="P31" s="42">
        <v>72644.0</v>
      </c>
      <c r="Q31" s="42">
        <v>70607.0</v>
      </c>
    </row>
    <row r="32" ht="14.25" customHeight="1">
      <c r="A32" s="41" t="s">
        <v>123</v>
      </c>
      <c r="B32" s="42">
        <v>87822.0</v>
      </c>
      <c r="C32" s="42">
        <v>87339.0</v>
      </c>
      <c r="D32" s="42">
        <v>86777.0</v>
      </c>
      <c r="E32" s="42">
        <v>86101.0</v>
      </c>
      <c r="F32" s="42">
        <v>85348.0</v>
      </c>
      <c r="G32" s="42">
        <v>84553.0</v>
      </c>
      <c r="H32" s="42">
        <v>83720.0</v>
      </c>
      <c r="I32" s="42">
        <v>82783.0</v>
      </c>
      <c r="J32" s="42">
        <v>81766.0</v>
      </c>
      <c r="K32" s="42">
        <v>80663.0</v>
      </c>
      <c r="L32" s="42">
        <v>79499.0</v>
      </c>
      <c r="M32" s="42">
        <v>78242.0</v>
      </c>
      <c r="N32" s="42">
        <v>76876.0</v>
      </c>
      <c r="O32" s="42">
        <v>75514.0</v>
      </c>
      <c r="P32" s="42">
        <v>74055.0</v>
      </c>
      <c r="Q32" s="42">
        <v>72486.0</v>
      </c>
    </row>
    <row r="33" ht="14.25" customHeight="1">
      <c r="A33" s="41" t="s">
        <v>124</v>
      </c>
      <c r="B33" s="42">
        <v>42969.0</v>
      </c>
      <c r="C33" s="42">
        <v>43482.0</v>
      </c>
      <c r="D33" s="42">
        <v>43989.0</v>
      </c>
      <c r="E33" s="42">
        <v>44489.0</v>
      </c>
      <c r="F33" s="42">
        <v>44980.0</v>
      </c>
      <c r="G33" s="42">
        <v>45462.0</v>
      </c>
      <c r="H33" s="42">
        <v>45950.0</v>
      </c>
      <c r="I33" s="42">
        <v>46423.0</v>
      </c>
      <c r="J33" s="42">
        <v>46858.0</v>
      </c>
      <c r="K33" s="42">
        <v>47272.0</v>
      </c>
      <c r="L33" s="42">
        <v>47684.0</v>
      </c>
      <c r="M33" s="42">
        <v>48079.0</v>
      </c>
      <c r="N33" s="42">
        <v>48442.0</v>
      </c>
      <c r="O33" s="42">
        <v>48749.0</v>
      </c>
      <c r="P33" s="42">
        <v>49068.0</v>
      </c>
      <c r="Q33" s="42">
        <v>49378.0</v>
      </c>
    </row>
    <row r="34" ht="14.25" customHeight="1">
      <c r="A34" s="41" t="s">
        <v>125</v>
      </c>
      <c r="B34" s="42">
        <v>39671.0</v>
      </c>
      <c r="C34" s="42">
        <v>40641.0</v>
      </c>
      <c r="D34" s="42">
        <v>41648.0</v>
      </c>
      <c r="E34" s="42">
        <v>42727.0</v>
      </c>
      <c r="F34" s="42">
        <v>43843.0</v>
      </c>
      <c r="G34" s="42">
        <v>44984.0</v>
      </c>
      <c r="H34" s="42">
        <v>46147.0</v>
      </c>
      <c r="I34" s="42">
        <v>47375.0</v>
      </c>
      <c r="J34" s="42">
        <v>48624.0</v>
      </c>
      <c r="K34" s="42">
        <v>49906.0</v>
      </c>
      <c r="L34" s="42">
        <v>51227.0</v>
      </c>
      <c r="M34" s="42">
        <v>52600.0</v>
      </c>
      <c r="N34" s="42">
        <v>53978.0</v>
      </c>
      <c r="O34" s="42">
        <v>55321.0</v>
      </c>
      <c r="P34" s="42">
        <v>56717.0</v>
      </c>
      <c r="Q34" s="42">
        <v>58173.0</v>
      </c>
    </row>
    <row r="35" ht="14.25" customHeight="1">
      <c r="A35" s="41" t="s">
        <v>126</v>
      </c>
      <c r="B35" s="48">
        <v>2.16</v>
      </c>
      <c r="C35" s="48">
        <v>2.17</v>
      </c>
      <c r="D35" s="48">
        <v>2.19</v>
      </c>
      <c r="E35" s="48">
        <v>2.21</v>
      </c>
      <c r="F35" s="48">
        <v>2.22</v>
      </c>
      <c r="G35" s="48">
        <v>2.24</v>
      </c>
      <c r="H35" s="48">
        <v>2.26</v>
      </c>
      <c r="I35" s="48">
        <v>2.28</v>
      </c>
      <c r="J35" s="48">
        <v>2.3</v>
      </c>
      <c r="K35" s="48">
        <v>2.32</v>
      </c>
      <c r="L35" s="48">
        <v>2.34</v>
      </c>
      <c r="M35" s="48">
        <v>2.36</v>
      </c>
      <c r="N35" s="48">
        <v>2.39</v>
      </c>
      <c r="O35" s="48">
        <v>2.41</v>
      </c>
      <c r="P35" s="48">
        <v>2.43</v>
      </c>
      <c r="Q35" s="48">
        <v>2.46</v>
      </c>
    </row>
    <row r="36" ht="14.25" customHeight="1">
      <c r="A36" s="40" t="s">
        <v>26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4"/>
    </row>
    <row r="37" ht="14.25" customHeight="1">
      <c r="A37" s="41" t="s">
        <v>121</v>
      </c>
      <c r="B37" s="42">
        <v>388496.0</v>
      </c>
      <c r="C37" s="42">
        <v>383658.0</v>
      </c>
      <c r="D37" s="42">
        <v>378731.0</v>
      </c>
      <c r="E37" s="42">
        <v>373730.0</v>
      </c>
      <c r="F37" s="42">
        <v>368657.0</v>
      </c>
      <c r="G37" s="42">
        <v>363494.0</v>
      </c>
      <c r="H37" s="42">
        <v>358176.0</v>
      </c>
      <c r="I37" s="42">
        <v>352584.0</v>
      </c>
      <c r="J37" s="42">
        <v>346662.0</v>
      </c>
      <c r="K37" s="42">
        <v>340318.0</v>
      </c>
      <c r="L37" s="42">
        <v>333451.0</v>
      </c>
      <c r="M37" s="42">
        <v>325916.0</v>
      </c>
      <c r="N37" s="42">
        <v>317844.0</v>
      </c>
      <c r="O37" s="42">
        <v>309237.0</v>
      </c>
      <c r="P37" s="42">
        <v>300305.0</v>
      </c>
      <c r="Q37" s="42">
        <v>291239.0</v>
      </c>
    </row>
    <row r="38" ht="14.25" customHeight="1">
      <c r="A38" s="41" t="s">
        <v>122</v>
      </c>
      <c r="B38" s="42">
        <v>123442.0</v>
      </c>
      <c r="C38" s="42">
        <v>120874.0</v>
      </c>
      <c r="D38" s="42">
        <v>118267.0</v>
      </c>
      <c r="E38" s="42">
        <v>115681.0</v>
      </c>
      <c r="F38" s="42">
        <v>113077.0</v>
      </c>
      <c r="G38" s="42">
        <v>110483.0</v>
      </c>
      <c r="H38" s="42">
        <v>107855.0</v>
      </c>
      <c r="I38" s="42">
        <v>105144.0</v>
      </c>
      <c r="J38" s="42">
        <v>102360.0</v>
      </c>
      <c r="K38" s="42">
        <v>99486.0</v>
      </c>
      <c r="L38" s="42">
        <v>96480.0</v>
      </c>
      <c r="M38" s="42">
        <v>93244.0</v>
      </c>
      <c r="N38" s="42">
        <v>89954.0</v>
      </c>
      <c r="O38" s="42">
        <v>86578.0</v>
      </c>
      <c r="P38" s="42">
        <v>83189.0</v>
      </c>
      <c r="Q38" s="42">
        <v>79818.0</v>
      </c>
    </row>
    <row r="39" ht="14.25" customHeight="1">
      <c r="A39" s="41" t="s">
        <v>123</v>
      </c>
      <c r="B39" s="42">
        <v>116034.0</v>
      </c>
      <c r="C39" s="42">
        <v>114060.0</v>
      </c>
      <c r="D39" s="42">
        <v>112026.0</v>
      </c>
      <c r="E39" s="42">
        <v>109904.0</v>
      </c>
      <c r="F39" s="42">
        <v>107773.0</v>
      </c>
      <c r="G39" s="42">
        <v>105618.0</v>
      </c>
      <c r="H39" s="42">
        <v>103442.0</v>
      </c>
      <c r="I39" s="42">
        <v>101195.0</v>
      </c>
      <c r="J39" s="42">
        <v>98859.0</v>
      </c>
      <c r="K39" s="42">
        <v>96415.0</v>
      </c>
      <c r="L39" s="42">
        <v>93842.0</v>
      </c>
      <c r="M39" s="42">
        <v>91105.0</v>
      </c>
      <c r="N39" s="42">
        <v>88239.0</v>
      </c>
      <c r="O39" s="42">
        <v>85252.0</v>
      </c>
      <c r="P39" s="42">
        <v>82233.0</v>
      </c>
      <c r="Q39" s="42">
        <v>79162.0</v>
      </c>
    </row>
    <row r="40" ht="14.25" customHeight="1">
      <c r="A40" s="41" t="s">
        <v>124</v>
      </c>
      <c r="B40" s="42">
        <v>67574.0</v>
      </c>
      <c r="C40" s="42">
        <v>67277.0</v>
      </c>
      <c r="D40" s="42">
        <v>66964.0</v>
      </c>
      <c r="E40" s="42">
        <v>66625.0</v>
      </c>
      <c r="F40" s="42">
        <v>66258.0</v>
      </c>
      <c r="G40" s="42">
        <v>65853.0</v>
      </c>
      <c r="H40" s="42">
        <v>65403.0</v>
      </c>
      <c r="I40" s="42">
        <v>64893.0</v>
      </c>
      <c r="J40" s="42">
        <v>64298.0</v>
      </c>
      <c r="K40" s="42">
        <v>63597.0</v>
      </c>
      <c r="L40" s="42">
        <v>62781.0</v>
      </c>
      <c r="M40" s="42">
        <v>61832.0</v>
      </c>
      <c r="N40" s="42">
        <v>60747.0</v>
      </c>
      <c r="O40" s="42">
        <v>59520.0</v>
      </c>
      <c r="P40" s="42">
        <v>58197.0</v>
      </c>
      <c r="Q40" s="42">
        <v>56832.0</v>
      </c>
    </row>
    <row r="41" ht="14.25" customHeight="1">
      <c r="A41" s="41" t="s">
        <v>125</v>
      </c>
      <c r="B41" s="42">
        <v>81446.0</v>
      </c>
      <c r="C41" s="42">
        <v>81447.0</v>
      </c>
      <c r="D41" s="42">
        <v>81474.0</v>
      </c>
      <c r="E41" s="42">
        <v>81520.0</v>
      </c>
      <c r="F41" s="42">
        <v>81549.0</v>
      </c>
      <c r="G41" s="42">
        <v>81540.0</v>
      </c>
      <c r="H41" s="42">
        <v>81476.0</v>
      </c>
      <c r="I41" s="42">
        <v>81352.0</v>
      </c>
      <c r="J41" s="42">
        <v>81145.0</v>
      </c>
      <c r="K41" s="42">
        <v>80820.0</v>
      </c>
      <c r="L41" s="42">
        <v>80348.0</v>
      </c>
      <c r="M41" s="42">
        <v>79735.0</v>
      </c>
      <c r="N41" s="42">
        <v>78904.0</v>
      </c>
      <c r="O41" s="42">
        <v>77887.0</v>
      </c>
      <c r="P41" s="42">
        <v>76686.0</v>
      </c>
      <c r="Q41" s="42">
        <v>75427.0</v>
      </c>
    </row>
    <row r="42" ht="14.25" customHeight="1">
      <c r="A42" s="41" t="s">
        <v>126</v>
      </c>
      <c r="B42" s="48">
        <v>2.43</v>
      </c>
      <c r="C42" s="48">
        <v>2.44</v>
      </c>
      <c r="D42" s="48">
        <v>2.45</v>
      </c>
      <c r="E42" s="48">
        <v>2.46</v>
      </c>
      <c r="F42" s="48">
        <v>2.47</v>
      </c>
      <c r="G42" s="48">
        <v>2.48</v>
      </c>
      <c r="H42" s="48">
        <v>2.5</v>
      </c>
      <c r="I42" s="48">
        <v>2.51</v>
      </c>
      <c r="J42" s="48">
        <v>2.52</v>
      </c>
      <c r="K42" s="48">
        <v>2.53</v>
      </c>
      <c r="L42" s="48">
        <v>2.54</v>
      </c>
      <c r="M42" s="48">
        <v>2.56</v>
      </c>
      <c r="N42" s="48">
        <v>2.57</v>
      </c>
      <c r="O42" s="48">
        <v>2.58</v>
      </c>
      <c r="P42" s="48">
        <v>2.59</v>
      </c>
      <c r="Q42" s="48">
        <v>2.6</v>
      </c>
    </row>
    <row r="43" ht="14.25" customHeight="1">
      <c r="A43" s="40" t="s">
        <v>27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4"/>
    </row>
    <row r="44" ht="14.25" customHeight="1">
      <c r="A44" s="41" t="s">
        <v>121</v>
      </c>
      <c r="B44" s="42">
        <v>246177.0</v>
      </c>
      <c r="C44" s="42">
        <v>244461.0</v>
      </c>
      <c r="D44" s="42">
        <v>242654.0</v>
      </c>
      <c r="E44" s="42">
        <v>240799.0</v>
      </c>
      <c r="F44" s="42">
        <v>238893.0</v>
      </c>
      <c r="G44" s="42">
        <v>236923.0</v>
      </c>
      <c r="H44" s="42">
        <v>234879.0</v>
      </c>
      <c r="I44" s="42">
        <v>232701.0</v>
      </c>
      <c r="J44" s="42">
        <v>230373.0</v>
      </c>
      <c r="K44" s="42">
        <v>227860.0</v>
      </c>
      <c r="L44" s="42">
        <v>225086.0</v>
      </c>
      <c r="M44" s="42">
        <v>221978.0</v>
      </c>
      <c r="N44" s="42">
        <v>218643.0</v>
      </c>
      <c r="O44" s="42">
        <v>215179.0</v>
      </c>
      <c r="P44" s="42">
        <v>211525.0</v>
      </c>
      <c r="Q44" s="42">
        <v>207758.0</v>
      </c>
    </row>
    <row r="45" ht="14.25" customHeight="1">
      <c r="A45" s="41" t="s">
        <v>122</v>
      </c>
      <c r="B45" s="42">
        <v>79681.0</v>
      </c>
      <c r="C45" s="42">
        <v>78335.0</v>
      </c>
      <c r="D45" s="42">
        <v>76912.0</v>
      </c>
      <c r="E45" s="42">
        <v>75483.0</v>
      </c>
      <c r="F45" s="42">
        <v>74023.0</v>
      </c>
      <c r="G45" s="42">
        <v>72541.0</v>
      </c>
      <c r="H45" s="42">
        <v>71039.0</v>
      </c>
      <c r="I45" s="42">
        <v>69486.0</v>
      </c>
      <c r="J45" s="42">
        <v>67887.0</v>
      </c>
      <c r="K45" s="42">
        <v>66252.0</v>
      </c>
      <c r="L45" s="42">
        <v>64517.0</v>
      </c>
      <c r="M45" s="42">
        <v>62637.0</v>
      </c>
      <c r="N45" s="42">
        <v>60730.0</v>
      </c>
      <c r="O45" s="42">
        <v>58894.0</v>
      </c>
      <c r="P45" s="42">
        <v>56979.0</v>
      </c>
      <c r="Q45" s="42">
        <v>55051.0</v>
      </c>
    </row>
    <row r="46" ht="14.25" customHeight="1">
      <c r="A46" s="41" t="s">
        <v>123</v>
      </c>
      <c r="B46" s="42">
        <v>75414.0</v>
      </c>
      <c r="C46" s="42">
        <v>74481.0</v>
      </c>
      <c r="D46" s="42">
        <v>73508.0</v>
      </c>
      <c r="E46" s="42">
        <v>72480.0</v>
      </c>
      <c r="F46" s="42">
        <v>71448.0</v>
      </c>
      <c r="G46" s="42">
        <v>70394.0</v>
      </c>
      <c r="H46" s="42">
        <v>69322.0</v>
      </c>
      <c r="I46" s="42">
        <v>68210.0</v>
      </c>
      <c r="J46" s="42">
        <v>67054.0</v>
      </c>
      <c r="K46" s="42">
        <v>65847.0</v>
      </c>
      <c r="L46" s="42">
        <v>64562.0</v>
      </c>
      <c r="M46" s="42">
        <v>63192.0</v>
      </c>
      <c r="N46" s="42">
        <v>61772.0</v>
      </c>
      <c r="O46" s="42">
        <v>60337.0</v>
      </c>
      <c r="P46" s="42">
        <v>58905.0</v>
      </c>
      <c r="Q46" s="42">
        <v>57413.0</v>
      </c>
    </row>
    <row r="47" ht="14.25" customHeight="1">
      <c r="A47" s="41" t="s">
        <v>124</v>
      </c>
      <c r="B47" s="42">
        <v>45860.0</v>
      </c>
      <c r="C47" s="42">
        <v>45960.0</v>
      </c>
      <c r="D47" s="42">
        <v>46051.0</v>
      </c>
      <c r="E47" s="42">
        <v>46132.0</v>
      </c>
      <c r="F47" s="42">
        <v>46193.0</v>
      </c>
      <c r="G47" s="42">
        <v>46228.0</v>
      </c>
      <c r="H47" s="42">
        <v>46238.0</v>
      </c>
      <c r="I47" s="42">
        <v>46216.0</v>
      </c>
      <c r="J47" s="42">
        <v>46151.0</v>
      </c>
      <c r="K47" s="42">
        <v>46025.0</v>
      </c>
      <c r="L47" s="42">
        <v>45846.0</v>
      </c>
      <c r="M47" s="42">
        <v>45602.0</v>
      </c>
      <c r="N47" s="42">
        <v>45288.0</v>
      </c>
      <c r="O47" s="42">
        <v>44888.0</v>
      </c>
      <c r="P47" s="42">
        <v>44444.0</v>
      </c>
      <c r="Q47" s="42">
        <v>43973.0</v>
      </c>
    </row>
    <row r="48" ht="14.25" customHeight="1">
      <c r="A48" s="41" t="s">
        <v>125</v>
      </c>
      <c r="B48" s="42">
        <v>45222.0</v>
      </c>
      <c r="C48" s="42">
        <v>45685.0</v>
      </c>
      <c r="D48" s="42">
        <v>46183.0</v>
      </c>
      <c r="E48" s="42">
        <v>46704.0</v>
      </c>
      <c r="F48" s="42">
        <v>47229.0</v>
      </c>
      <c r="G48" s="42">
        <v>47760.0</v>
      </c>
      <c r="H48" s="42">
        <v>48280.0</v>
      </c>
      <c r="I48" s="42">
        <v>48789.0</v>
      </c>
      <c r="J48" s="42">
        <v>49281.0</v>
      </c>
      <c r="K48" s="42">
        <v>49736.0</v>
      </c>
      <c r="L48" s="42">
        <v>50161.0</v>
      </c>
      <c r="M48" s="42">
        <v>50547.0</v>
      </c>
      <c r="N48" s="42">
        <v>50853.0</v>
      </c>
      <c r="O48" s="42">
        <v>51060.0</v>
      </c>
      <c r="P48" s="42">
        <v>51197.0</v>
      </c>
      <c r="Q48" s="42">
        <v>51321.0</v>
      </c>
    </row>
    <row r="49" ht="14.25" customHeight="1">
      <c r="A49" s="41" t="s">
        <v>126</v>
      </c>
      <c r="B49" s="48">
        <v>2.35</v>
      </c>
      <c r="C49" s="48">
        <v>2.37</v>
      </c>
      <c r="D49" s="48">
        <v>2.38</v>
      </c>
      <c r="E49" s="48">
        <v>2.39</v>
      </c>
      <c r="F49" s="48">
        <v>2.4</v>
      </c>
      <c r="G49" s="48">
        <v>2.42</v>
      </c>
      <c r="H49" s="48">
        <v>2.43</v>
      </c>
      <c r="I49" s="48">
        <v>2.45</v>
      </c>
      <c r="J49" s="48">
        <v>2.46</v>
      </c>
      <c r="K49" s="48">
        <v>2.47</v>
      </c>
      <c r="L49" s="48">
        <v>2.49</v>
      </c>
      <c r="M49" s="48">
        <v>2.5</v>
      </c>
      <c r="N49" s="48">
        <v>2.52</v>
      </c>
      <c r="O49" s="48">
        <v>2.53</v>
      </c>
      <c r="P49" s="48">
        <v>2.55</v>
      </c>
      <c r="Q49" s="48">
        <v>2.56</v>
      </c>
    </row>
    <row r="50" ht="14.25" customHeight="1">
      <c r="A50" s="40" t="s">
        <v>28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4"/>
    </row>
    <row r="51" ht="14.25" customHeight="1">
      <c r="A51" s="41" t="s">
        <v>121</v>
      </c>
      <c r="B51" s="42">
        <v>559126.0</v>
      </c>
      <c r="C51" s="42">
        <v>555807.0</v>
      </c>
      <c r="D51" s="42">
        <v>552241.0</v>
      </c>
      <c r="E51" s="42">
        <v>548540.0</v>
      </c>
      <c r="F51" s="42">
        <v>544729.0</v>
      </c>
      <c r="G51" s="42">
        <v>540790.0</v>
      </c>
      <c r="H51" s="42">
        <v>536724.0</v>
      </c>
      <c r="I51" s="42">
        <v>532324.0</v>
      </c>
      <c r="J51" s="42">
        <v>527731.0</v>
      </c>
      <c r="K51" s="42">
        <v>522784.0</v>
      </c>
      <c r="L51" s="42">
        <v>517447.0</v>
      </c>
      <c r="M51" s="42">
        <v>511573.0</v>
      </c>
      <c r="N51" s="42">
        <v>505358.0</v>
      </c>
      <c r="O51" s="42">
        <v>498826.0</v>
      </c>
      <c r="P51" s="42">
        <v>492007.0</v>
      </c>
      <c r="Q51" s="42">
        <v>485013.0</v>
      </c>
    </row>
    <row r="52" ht="14.25" customHeight="1">
      <c r="A52" s="41" t="s">
        <v>122</v>
      </c>
      <c r="B52" s="42">
        <v>180901.0</v>
      </c>
      <c r="C52" s="42">
        <v>177737.0</v>
      </c>
      <c r="D52" s="42">
        <v>174375.0</v>
      </c>
      <c r="E52" s="42">
        <v>170993.0</v>
      </c>
      <c r="F52" s="42">
        <v>167515.0</v>
      </c>
      <c r="G52" s="42">
        <v>164002.0</v>
      </c>
      <c r="H52" s="42">
        <v>160391.0</v>
      </c>
      <c r="I52" s="42">
        <v>156582.0</v>
      </c>
      <c r="J52" s="42">
        <v>152735.0</v>
      </c>
      <c r="K52" s="42">
        <v>148776.0</v>
      </c>
      <c r="L52" s="42">
        <v>144608.0</v>
      </c>
      <c r="M52" s="42">
        <v>140149.0</v>
      </c>
      <c r="N52" s="42">
        <v>135685.0</v>
      </c>
      <c r="O52" s="42">
        <v>131145.0</v>
      </c>
      <c r="P52" s="42">
        <v>126498.0</v>
      </c>
      <c r="Q52" s="42">
        <v>121834.0</v>
      </c>
    </row>
    <row r="53" ht="14.25" customHeight="1">
      <c r="A53" s="41" t="s">
        <v>123</v>
      </c>
      <c r="B53" s="42">
        <v>177131.0</v>
      </c>
      <c r="C53" s="42">
        <v>174968.0</v>
      </c>
      <c r="D53" s="42">
        <v>172668.0</v>
      </c>
      <c r="E53" s="42">
        <v>170211.0</v>
      </c>
      <c r="F53" s="42">
        <v>167739.0</v>
      </c>
      <c r="G53" s="42">
        <v>165172.0</v>
      </c>
      <c r="H53" s="42">
        <v>162620.0</v>
      </c>
      <c r="I53" s="42">
        <v>159909.0</v>
      </c>
      <c r="J53" s="42">
        <v>157142.0</v>
      </c>
      <c r="K53" s="42">
        <v>154185.0</v>
      </c>
      <c r="L53" s="42">
        <v>151170.0</v>
      </c>
      <c r="M53" s="42">
        <v>147993.0</v>
      </c>
      <c r="N53" s="42">
        <v>144658.0</v>
      </c>
      <c r="O53" s="42">
        <v>141292.0</v>
      </c>
      <c r="P53" s="42">
        <v>137890.0</v>
      </c>
      <c r="Q53" s="42">
        <v>134391.0</v>
      </c>
    </row>
    <row r="54" ht="14.25" customHeight="1">
      <c r="A54" s="41" t="s">
        <v>124</v>
      </c>
      <c r="B54" s="42">
        <v>104504.0</v>
      </c>
      <c r="C54" s="42">
        <v>104970.0</v>
      </c>
      <c r="D54" s="42">
        <v>105430.0</v>
      </c>
      <c r="E54" s="42">
        <v>105842.0</v>
      </c>
      <c r="F54" s="42">
        <v>106229.0</v>
      </c>
      <c r="G54" s="42">
        <v>106575.0</v>
      </c>
      <c r="H54" s="42">
        <v>106894.0</v>
      </c>
      <c r="I54" s="42">
        <v>107163.0</v>
      </c>
      <c r="J54" s="42">
        <v>107352.0</v>
      </c>
      <c r="K54" s="42">
        <v>107462.0</v>
      </c>
      <c r="L54" s="42">
        <v>107494.0</v>
      </c>
      <c r="M54" s="42">
        <v>107441.0</v>
      </c>
      <c r="N54" s="42">
        <v>107275.0</v>
      </c>
      <c r="O54" s="42">
        <v>106993.0</v>
      </c>
      <c r="P54" s="42">
        <v>106659.0</v>
      </c>
      <c r="Q54" s="42">
        <v>106277.0</v>
      </c>
    </row>
    <row r="55" ht="14.25" customHeight="1">
      <c r="A55" s="41" t="s">
        <v>125</v>
      </c>
      <c r="B55" s="42">
        <v>96590.0</v>
      </c>
      <c r="C55" s="42">
        <v>98132.0</v>
      </c>
      <c r="D55" s="42">
        <v>99768.0</v>
      </c>
      <c r="E55" s="42">
        <v>101494.0</v>
      </c>
      <c r="F55" s="42">
        <v>103246.0</v>
      </c>
      <c r="G55" s="42">
        <v>105041.0</v>
      </c>
      <c r="H55" s="42">
        <v>106819.0</v>
      </c>
      <c r="I55" s="42">
        <v>108670.0</v>
      </c>
      <c r="J55" s="42">
        <v>110502.0</v>
      </c>
      <c r="K55" s="42">
        <v>112361.0</v>
      </c>
      <c r="L55" s="42">
        <v>114175.0</v>
      </c>
      <c r="M55" s="42">
        <v>115990.0</v>
      </c>
      <c r="N55" s="42">
        <v>117740.0</v>
      </c>
      <c r="O55" s="42">
        <v>119396.0</v>
      </c>
      <c r="P55" s="42">
        <v>120960.0</v>
      </c>
      <c r="Q55" s="42">
        <v>122511.0</v>
      </c>
    </row>
    <row r="56" ht="14.25" customHeight="1">
      <c r="A56" s="41" t="s">
        <v>126</v>
      </c>
      <c r="B56" s="48">
        <v>2.29</v>
      </c>
      <c r="C56" s="48">
        <v>2.3</v>
      </c>
      <c r="D56" s="48">
        <v>2.32</v>
      </c>
      <c r="E56" s="48">
        <v>2.34</v>
      </c>
      <c r="F56" s="48">
        <v>2.35</v>
      </c>
      <c r="G56" s="48">
        <v>2.37</v>
      </c>
      <c r="H56" s="48">
        <v>2.39</v>
      </c>
      <c r="I56" s="48">
        <v>2.41</v>
      </c>
      <c r="J56" s="48">
        <v>2.43</v>
      </c>
      <c r="K56" s="48">
        <v>2.45</v>
      </c>
      <c r="L56" s="48">
        <v>2.47</v>
      </c>
      <c r="M56" s="48">
        <v>2.49</v>
      </c>
      <c r="N56" s="48">
        <v>2.51</v>
      </c>
      <c r="O56" s="48">
        <v>2.53</v>
      </c>
      <c r="P56" s="48">
        <v>2.56</v>
      </c>
      <c r="Q56" s="48">
        <v>2.58</v>
      </c>
    </row>
    <row r="57" ht="14.25" customHeight="1">
      <c r="A57" s="40" t="s">
        <v>29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4"/>
    </row>
    <row r="58" ht="14.25" customHeight="1">
      <c r="A58" s="41" t="s">
        <v>121</v>
      </c>
      <c r="B58" s="42">
        <v>861756.0</v>
      </c>
      <c r="C58" s="42">
        <v>856297.0</v>
      </c>
      <c r="D58" s="42">
        <v>850560.0</v>
      </c>
      <c r="E58" s="42">
        <v>844665.0</v>
      </c>
      <c r="F58" s="42">
        <v>838609.0</v>
      </c>
      <c r="G58" s="42">
        <v>832378.0</v>
      </c>
      <c r="H58" s="42">
        <v>826014.0</v>
      </c>
      <c r="I58" s="42">
        <v>819267.0</v>
      </c>
      <c r="J58" s="42">
        <v>812202.0</v>
      </c>
      <c r="K58" s="42">
        <v>804830.0</v>
      </c>
      <c r="L58" s="42">
        <v>796828.0</v>
      </c>
      <c r="M58" s="42">
        <v>788092.0</v>
      </c>
      <c r="N58" s="42">
        <v>778970.0</v>
      </c>
      <c r="O58" s="42">
        <v>769539.0</v>
      </c>
      <c r="P58" s="42">
        <v>759596.0</v>
      </c>
      <c r="Q58" s="42">
        <v>749472.0</v>
      </c>
    </row>
    <row r="59" ht="14.25" customHeight="1">
      <c r="A59" s="41" t="s">
        <v>122</v>
      </c>
      <c r="B59" s="42">
        <v>270429.0</v>
      </c>
      <c r="C59" s="42">
        <v>265448.0</v>
      </c>
      <c r="D59" s="42">
        <v>260250.0</v>
      </c>
      <c r="E59" s="42">
        <v>255031.0</v>
      </c>
      <c r="F59" s="42">
        <v>249673.0</v>
      </c>
      <c r="G59" s="42">
        <v>244255.0</v>
      </c>
      <c r="H59" s="42">
        <v>238743.0</v>
      </c>
      <c r="I59" s="42">
        <v>233008.0</v>
      </c>
      <c r="J59" s="42">
        <v>227181.0</v>
      </c>
      <c r="K59" s="42">
        <v>221370.0</v>
      </c>
      <c r="L59" s="42">
        <v>215193.0</v>
      </c>
      <c r="M59" s="42">
        <v>208633.0</v>
      </c>
      <c r="N59" s="42">
        <v>202110.0</v>
      </c>
      <c r="O59" s="42">
        <v>195682.0</v>
      </c>
      <c r="P59" s="42">
        <v>188943.0</v>
      </c>
      <c r="Q59" s="42">
        <v>182224.0</v>
      </c>
    </row>
    <row r="60" ht="14.25" customHeight="1">
      <c r="A60" s="41" t="s">
        <v>123</v>
      </c>
      <c r="B60" s="42">
        <v>269166.0</v>
      </c>
      <c r="C60" s="42">
        <v>265940.0</v>
      </c>
      <c r="D60" s="42">
        <v>262524.0</v>
      </c>
      <c r="E60" s="42">
        <v>258911.0</v>
      </c>
      <c r="F60" s="42">
        <v>255247.0</v>
      </c>
      <c r="G60" s="42">
        <v>251449.0</v>
      </c>
      <c r="H60" s="42">
        <v>247670.0</v>
      </c>
      <c r="I60" s="42">
        <v>243735.0</v>
      </c>
      <c r="J60" s="42">
        <v>239663.0</v>
      </c>
      <c r="K60" s="42">
        <v>235437.0</v>
      </c>
      <c r="L60" s="42">
        <v>231059.0</v>
      </c>
      <c r="M60" s="42">
        <v>226454.0</v>
      </c>
      <c r="N60" s="42">
        <v>221708.0</v>
      </c>
      <c r="O60" s="42">
        <v>216891.0</v>
      </c>
      <c r="P60" s="42">
        <v>212029.0</v>
      </c>
      <c r="Q60" s="42">
        <v>207049.0</v>
      </c>
    </row>
    <row r="61" ht="14.25" customHeight="1">
      <c r="A61" s="41" t="s">
        <v>124</v>
      </c>
      <c r="B61" s="42">
        <v>158519.0</v>
      </c>
      <c r="C61" s="42">
        <v>159048.0</v>
      </c>
      <c r="D61" s="42">
        <v>159563.0</v>
      </c>
      <c r="E61" s="42">
        <v>160019.0</v>
      </c>
      <c r="F61" s="42">
        <v>160444.0</v>
      </c>
      <c r="G61" s="42">
        <v>160814.0</v>
      </c>
      <c r="H61" s="42">
        <v>161148.0</v>
      </c>
      <c r="I61" s="42">
        <v>161407.0</v>
      </c>
      <c r="J61" s="42">
        <v>161561.0</v>
      </c>
      <c r="K61" s="42">
        <v>161574.0</v>
      </c>
      <c r="L61" s="42">
        <v>161488.0</v>
      </c>
      <c r="M61" s="42">
        <v>161277.0</v>
      </c>
      <c r="N61" s="42">
        <v>160943.0</v>
      </c>
      <c r="O61" s="42">
        <v>160446.0</v>
      </c>
      <c r="P61" s="42">
        <v>159903.0</v>
      </c>
      <c r="Q61" s="42">
        <v>159319.0</v>
      </c>
    </row>
    <row r="62" ht="14.25" customHeight="1">
      <c r="A62" s="41" t="s">
        <v>125</v>
      </c>
      <c r="B62" s="42">
        <v>163642.0</v>
      </c>
      <c r="C62" s="42">
        <v>165861.0</v>
      </c>
      <c r="D62" s="42">
        <v>168223.0</v>
      </c>
      <c r="E62" s="42">
        <v>170704.0</v>
      </c>
      <c r="F62" s="42">
        <v>173245.0</v>
      </c>
      <c r="G62" s="42">
        <v>175860.0</v>
      </c>
      <c r="H62" s="42">
        <v>178453.0</v>
      </c>
      <c r="I62" s="42">
        <v>181117.0</v>
      </c>
      <c r="J62" s="42">
        <v>183797.0</v>
      </c>
      <c r="K62" s="42">
        <v>186449.0</v>
      </c>
      <c r="L62" s="42">
        <v>189088.0</v>
      </c>
      <c r="M62" s="42">
        <v>191728.0</v>
      </c>
      <c r="N62" s="42">
        <v>194209.0</v>
      </c>
      <c r="O62" s="42">
        <v>196520.0</v>
      </c>
      <c r="P62" s="42">
        <v>198721.0</v>
      </c>
      <c r="Q62" s="42">
        <v>200880.0</v>
      </c>
    </row>
    <row r="63" ht="14.25" customHeight="1">
      <c r="A63" s="41" t="s">
        <v>126</v>
      </c>
      <c r="B63" s="48">
        <v>2.33</v>
      </c>
      <c r="C63" s="48">
        <v>2.35</v>
      </c>
      <c r="D63" s="48">
        <v>2.36</v>
      </c>
      <c r="E63" s="48">
        <v>2.38</v>
      </c>
      <c r="F63" s="48">
        <v>2.39</v>
      </c>
      <c r="G63" s="48">
        <v>2.41</v>
      </c>
      <c r="H63" s="48">
        <v>2.43</v>
      </c>
      <c r="I63" s="48">
        <v>2.45</v>
      </c>
      <c r="J63" s="48">
        <v>2.47</v>
      </c>
      <c r="K63" s="48">
        <v>2.49</v>
      </c>
      <c r="L63" s="48">
        <v>2.51</v>
      </c>
      <c r="M63" s="48">
        <v>2.53</v>
      </c>
      <c r="N63" s="48">
        <v>2.55</v>
      </c>
      <c r="O63" s="48">
        <v>2.57</v>
      </c>
      <c r="P63" s="48">
        <v>2.59</v>
      </c>
      <c r="Q63" s="48">
        <v>2.61</v>
      </c>
    </row>
    <row r="64" ht="14.25" customHeight="1">
      <c r="A64" s="40" t="s">
        <v>30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4"/>
    </row>
    <row r="65" ht="14.25" customHeight="1">
      <c r="A65" s="41" t="s">
        <v>121</v>
      </c>
      <c r="B65" s="42">
        <v>461335.0</v>
      </c>
      <c r="C65" s="42">
        <v>457684.0</v>
      </c>
      <c r="D65" s="42">
        <v>453910.0</v>
      </c>
      <c r="E65" s="42">
        <v>449962.0</v>
      </c>
      <c r="F65" s="42">
        <v>445938.0</v>
      </c>
      <c r="G65" s="42">
        <v>441796.0</v>
      </c>
      <c r="H65" s="42">
        <v>437555.0</v>
      </c>
      <c r="I65" s="42">
        <v>433060.0</v>
      </c>
      <c r="J65" s="42">
        <v>428286.0</v>
      </c>
      <c r="K65" s="42">
        <v>423230.0</v>
      </c>
      <c r="L65" s="42">
        <v>417746.0</v>
      </c>
      <c r="M65" s="42">
        <v>411684.0</v>
      </c>
      <c r="N65" s="42">
        <v>405229.0</v>
      </c>
      <c r="O65" s="42">
        <v>398444.0</v>
      </c>
      <c r="P65" s="42">
        <v>391363.0</v>
      </c>
      <c r="Q65" s="42">
        <v>384187.0</v>
      </c>
    </row>
    <row r="66" ht="14.25" customHeight="1">
      <c r="A66" s="41" t="s">
        <v>122</v>
      </c>
      <c r="B66" s="42">
        <v>170310.0</v>
      </c>
      <c r="C66" s="42">
        <v>167425.0</v>
      </c>
      <c r="D66" s="42">
        <v>164458.0</v>
      </c>
      <c r="E66" s="42">
        <v>161383.0</v>
      </c>
      <c r="F66" s="42">
        <v>158287.0</v>
      </c>
      <c r="G66" s="42">
        <v>155132.0</v>
      </c>
      <c r="H66" s="42">
        <v>151945.0</v>
      </c>
      <c r="I66" s="42">
        <v>148617.0</v>
      </c>
      <c r="J66" s="42">
        <v>145170.0</v>
      </c>
      <c r="K66" s="42">
        <v>141655.0</v>
      </c>
      <c r="L66" s="42">
        <v>137933.0</v>
      </c>
      <c r="M66" s="42">
        <v>133897.0</v>
      </c>
      <c r="N66" s="42">
        <v>129795.0</v>
      </c>
      <c r="O66" s="42">
        <v>125657.0</v>
      </c>
      <c r="P66" s="42">
        <v>121410.0</v>
      </c>
      <c r="Q66" s="42">
        <v>117197.0</v>
      </c>
    </row>
    <row r="67" ht="14.25" customHeight="1">
      <c r="A67" s="41" t="s">
        <v>123</v>
      </c>
      <c r="B67" s="42">
        <v>140763.0</v>
      </c>
      <c r="C67" s="42">
        <v>139112.0</v>
      </c>
      <c r="D67" s="42">
        <v>137384.0</v>
      </c>
      <c r="E67" s="42">
        <v>135547.0</v>
      </c>
      <c r="F67" s="42">
        <v>133663.0</v>
      </c>
      <c r="G67" s="42">
        <v>131736.0</v>
      </c>
      <c r="H67" s="42">
        <v>129798.0</v>
      </c>
      <c r="I67" s="42">
        <v>127768.0</v>
      </c>
      <c r="J67" s="42">
        <v>125647.0</v>
      </c>
      <c r="K67" s="42">
        <v>123423.0</v>
      </c>
      <c r="L67" s="42">
        <v>121083.0</v>
      </c>
      <c r="M67" s="42">
        <v>118572.0</v>
      </c>
      <c r="N67" s="42">
        <v>115914.0</v>
      </c>
      <c r="O67" s="42">
        <v>113168.0</v>
      </c>
      <c r="P67" s="42">
        <v>110379.0</v>
      </c>
      <c r="Q67" s="42">
        <v>107510.0</v>
      </c>
    </row>
    <row r="68" ht="14.25" customHeight="1">
      <c r="A68" s="41" t="s">
        <v>124</v>
      </c>
      <c r="B68" s="42">
        <v>76116.0</v>
      </c>
      <c r="C68" s="42">
        <v>76177.0</v>
      </c>
      <c r="D68" s="42">
        <v>76227.0</v>
      </c>
      <c r="E68" s="42">
        <v>76256.0</v>
      </c>
      <c r="F68" s="42">
        <v>76269.0</v>
      </c>
      <c r="G68" s="42">
        <v>76260.0</v>
      </c>
      <c r="H68" s="42">
        <v>76227.0</v>
      </c>
      <c r="I68" s="42">
        <v>76148.0</v>
      </c>
      <c r="J68" s="42">
        <v>76025.0</v>
      </c>
      <c r="K68" s="42">
        <v>75829.0</v>
      </c>
      <c r="L68" s="42">
        <v>75568.0</v>
      </c>
      <c r="M68" s="42">
        <v>75228.0</v>
      </c>
      <c r="N68" s="42">
        <v>74797.0</v>
      </c>
      <c r="O68" s="42">
        <v>74267.0</v>
      </c>
      <c r="P68" s="42">
        <v>73689.0</v>
      </c>
      <c r="Q68" s="42">
        <v>73078.0</v>
      </c>
    </row>
    <row r="69" ht="14.25" customHeight="1">
      <c r="A69" s="41" t="s">
        <v>125</v>
      </c>
      <c r="B69" s="42">
        <v>74146.0</v>
      </c>
      <c r="C69" s="42">
        <v>74970.0</v>
      </c>
      <c r="D69" s="42">
        <v>75841.0</v>
      </c>
      <c r="E69" s="42">
        <v>76776.0</v>
      </c>
      <c r="F69" s="42">
        <v>77719.0</v>
      </c>
      <c r="G69" s="42">
        <v>78668.0</v>
      </c>
      <c r="H69" s="42">
        <v>79585.0</v>
      </c>
      <c r="I69" s="42">
        <v>80527.0</v>
      </c>
      <c r="J69" s="42">
        <v>81444.0</v>
      </c>
      <c r="K69" s="42">
        <v>82323.0</v>
      </c>
      <c r="L69" s="42">
        <v>83162.0</v>
      </c>
      <c r="M69" s="42">
        <v>83987.0</v>
      </c>
      <c r="N69" s="42">
        <v>84723.0</v>
      </c>
      <c r="O69" s="42">
        <v>85352.0</v>
      </c>
      <c r="P69" s="42">
        <v>85885.0</v>
      </c>
      <c r="Q69" s="42">
        <v>86402.0</v>
      </c>
    </row>
    <row r="70" ht="14.25" customHeight="1">
      <c r="A70" s="41" t="s">
        <v>126</v>
      </c>
      <c r="B70" s="48">
        <v>2.17</v>
      </c>
      <c r="C70" s="48">
        <v>2.19</v>
      </c>
      <c r="D70" s="48">
        <v>2.2</v>
      </c>
      <c r="E70" s="48">
        <v>2.22</v>
      </c>
      <c r="F70" s="48">
        <v>2.23</v>
      </c>
      <c r="G70" s="48">
        <v>2.25</v>
      </c>
      <c r="H70" s="48">
        <v>2.26</v>
      </c>
      <c r="I70" s="48">
        <v>2.28</v>
      </c>
      <c r="J70" s="48">
        <v>2.29</v>
      </c>
      <c r="K70" s="48">
        <v>2.31</v>
      </c>
      <c r="L70" s="48">
        <v>2.33</v>
      </c>
      <c r="M70" s="48">
        <v>2.35</v>
      </c>
      <c r="N70" s="48">
        <v>2.37</v>
      </c>
      <c r="O70" s="48">
        <v>2.39</v>
      </c>
      <c r="P70" s="48">
        <v>2.41</v>
      </c>
      <c r="Q70" s="48">
        <v>2.43</v>
      </c>
    </row>
    <row r="71" ht="14.25" customHeight="1">
      <c r="A71" s="40" t="s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4"/>
    </row>
    <row r="72" ht="14.25" customHeight="1">
      <c r="A72" s="41" t="s">
        <v>121</v>
      </c>
      <c r="B72" s="42">
        <v>335140.0</v>
      </c>
      <c r="C72" s="42">
        <v>334038.0</v>
      </c>
      <c r="D72" s="42">
        <v>332828.0</v>
      </c>
      <c r="E72" s="42">
        <v>331525.0</v>
      </c>
      <c r="F72" s="42">
        <v>330177.0</v>
      </c>
      <c r="G72" s="42">
        <v>328743.0</v>
      </c>
      <c r="H72" s="42">
        <v>327252.0</v>
      </c>
      <c r="I72" s="42">
        <v>325570.0</v>
      </c>
      <c r="J72" s="42">
        <v>323820.0</v>
      </c>
      <c r="K72" s="42">
        <v>321971.0</v>
      </c>
      <c r="L72" s="42">
        <v>319829.0</v>
      </c>
      <c r="M72" s="42">
        <v>317422.0</v>
      </c>
      <c r="N72" s="42">
        <v>314847.0</v>
      </c>
      <c r="O72" s="42">
        <v>312216.0</v>
      </c>
      <c r="P72" s="42">
        <v>309411.0</v>
      </c>
      <c r="Q72" s="42">
        <v>306418.0</v>
      </c>
    </row>
    <row r="73" ht="14.25" customHeight="1">
      <c r="A73" s="41" t="s">
        <v>122</v>
      </c>
      <c r="B73" s="42">
        <v>115894.0</v>
      </c>
      <c r="C73" s="42">
        <v>114101.0</v>
      </c>
      <c r="D73" s="42">
        <v>112239.0</v>
      </c>
      <c r="E73" s="42">
        <v>110329.0</v>
      </c>
      <c r="F73" s="42">
        <v>108404.0</v>
      </c>
      <c r="G73" s="42">
        <v>106426.0</v>
      </c>
      <c r="H73" s="42">
        <v>104391.0</v>
      </c>
      <c r="I73" s="42">
        <v>102252.0</v>
      </c>
      <c r="J73" s="42">
        <v>100117.0</v>
      </c>
      <c r="K73" s="42">
        <v>98004.0</v>
      </c>
      <c r="L73" s="42">
        <v>95639.0</v>
      </c>
      <c r="M73" s="42">
        <v>93068.0</v>
      </c>
      <c r="N73" s="42">
        <v>90495.0</v>
      </c>
      <c r="O73" s="42">
        <v>87989.0</v>
      </c>
      <c r="P73" s="42">
        <v>85305.0</v>
      </c>
      <c r="Q73" s="42">
        <v>82531.0</v>
      </c>
    </row>
    <row r="74" ht="14.25" customHeight="1">
      <c r="A74" s="41" t="s">
        <v>123</v>
      </c>
      <c r="B74" s="42">
        <v>109744.0</v>
      </c>
      <c r="C74" s="42">
        <v>108914.0</v>
      </c>
      <c r="D74" s="42">
        <v>107993.0</v>
      </c>
      <c r="E74" s="42">
        <v>106973.0</v>
      </c>
      <c r="F74" s="42">
        <v>105906.0</v>
      </c>
      <c r="G74" s="42">
        <v>104774.0</v>
      </c>
      <c r="H74" s="42">
        <v>103644.0</v>
      </c>
      <c r="I74" s="42">
        <v>102372.0</v>
      </c>
      <c r="J74" s="42">
        <v>101041.0</v>
      </c>
      <c r="K74" s="42">
        <v>99604.0</v>
      </c>
      <c r="L74" s="42">
        <v>98098.0</v>
      </c>
      <c r="M74" s="42">
        <v>96535.0</v>
      </c>
      <c r="N74" s="42">
        <v>94815.0</v>
      </c>
      <c r="O74" s="42">
        <v>93056.0</v>
      </c>
      <c r="P74" s="42">
        <v>91310.0</v>
      </c>
      <c r="Q74" s="42">
        <v>89414.0</v>
      </c>
    </row>
    <row r="75" ht="14.25" customHeight="1">
      <c r="A75" s="41" t="s">
        <v>124</v>
      </c>
      <c r="B75" s="42">
        <v>57183.0</v>
      </c>
      <c r="C75" s="42">
        <v>57616.0</v>
      </c>
      <c r="D75" s="42">
        <v>58043.0</v>
      </c>
      <c r="E75" s="42">
        <v>58461.0</v>
      </c>
      <c r="F75" s="42">
        <v>58865.0</v>
      </c>
      <c r="G75" s="42">
        <v>59262.0</v>
      </c>
      <c r="H75" s="42">
        <v>59648.0</v>
      </c>
      <c r="I75" s="42">
        <v>60021.0</v>
      </c>
      <c r="J75" s="42">
        <v>60357.0</v>
      </c>
      <c r="K75" s="42">
        <v>60662.0</v>
      </c>
      <c r="L75" s="42">
        <v>60952.0</v>
      </c>
      <c r="M75" s="42">
        <v>61209.0</v>
      </c>
      <c r="N75" s="42">
        <v>61439.0</v>
      </c>
      <c r="O75" s="42">
        <v>61601.0</v>
      </c>
      <c r="P75" s="42">
        <v>61764.0</v>
      </c>
      <c r="Q75" s="42">
        <v>61920.0</v>
      </c>
    </row>
    <row r="76" ht="14.25" customHeight="1">
      <c r="A76" s="41" t="s">
        <v>125</v>
      </c>
      <c r="B76" s="42">
        <v>52319.0</v>
      </c>
      <c r="C76" s="42">
        <v>53407.0</v>
      </c>
      <c r="D76" s="42">
        <v>54553.0</v>
      </c>
      <c r="E76" s="42">
        <v>55762.0</v>
      </c>
      <c r="F76" s="42">
        <v>57002.0</v>
      </c>
      <c r="G76" s="42">
        <v>58281.0</v>
      </c>
      <c r="H76" s="42">
        <v>59569.0</v>
      </c>
      <c r="I76" s="42">
        <v>60925.0</v>
      </c>
      <c r="J76" s="42">
        <v>62305.0</v>
      </c>
      <c r="K76" s="42">
        <v>63701.0</v>
      </c>
      <c r="L76" s="42">
        <v>65140.0</v>
      </c>
      <c r="M76" s="42">
        <v>66610.0</v>
      </c>
      <c r="N76" s="42">
        <v>68098.0</v>
      </c>
      <c r="O76" s="42">
        <v>69570.0</v>
      </c>
      <c r="P76" s="42">
        <v>71032.0</v>
      </c>
      <c r="Q76" s="42">
        <v>72553.0</v>
      </c>
    </row>
    <row r="77" ht="14.25" customHeight="1">
      <c r="A77" s="41" t="s">
        <v>126</v>
      </c>
      <c r="B77" s="48">
        <v>2.21</v>
      </c>
      <c r="C77" s="48">
        <v>2.22</v>
      </c>
      <c r="D77" s="48">
        <v>2.24</v>
      </c>
      <c r="E77" s="48">
        <v>2.25</v>
      </c>
      <c r="F77" s="48">
        <v>2.27</v>
      </c>
      <c r="G77" s="48">
        <v>2.29</v>
      </c>
      <c r="H77" s="48">
        <v>2.31</v>
      </c>
      <c r="I77" s="48">
        <v>2.32</v>
      </c>
      <c r="J77" s="48">
        <v>2.34</v>
      </c>
      <c r="K77" s="48">
        <v>2.36</v>
      </c>
      <c r="L77" s="48">
        <v>2.38</v>
      </c>
      <c r="M77" s="48">
        <v>2.4</v>
      </c>
      <c r="N77" s="48">
        <v>2.43</v>
      </c>
      <c r="O77" s="48">
        <v>2.45</v>
      </c>
      <c r="P77" s="48">
        <v>2.47</v>
      </c>
      <c r="Q77" s="48">
        <v>2.5</v>
      </c>
    </row>
    <row r="78" ht="14.25" customHeight="1">
      <c r="A78" s="40" t="s">
        <v>77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4"/>
    </row>
    <row r="79" ht="14.25" customHeight="1">
      <c r="A79" s="41" t="s">
        <v>121</v>
      </c>
      <c r="B79" s="42">
        <v>665262.0</v>
      </c>
      <c r="C79" s="42">
        <v>660289.0</v>
      </c>
      <c r="D79" s="42">
        <v>655040.0</v>
      </c>
      <c r="E79" s="42">
        <v>649661.0</v>
      </c>
      <c r="F79" s="42">
        <v>644083.0</v>
      </c>
      <c r="G79" s="42">
        <v>638419.0</v>
      </c>
      <c r="H79" s="42">
        <v>632539.0</v>
      </c>
      <c r="I79" s="42">
        <v>626260.0</v>
      </c>
      <c r="J79" s="42">
        <v>619694.0</v>
      </c>
      <c r="K79" s="42">
        <v>612668.0</v>
      </c>
      <c r="L79" s="42">
        <v>605136.0</v>
      </c>
      <c r="M79" s="42">
        <v>596876.0</v>
      </c>
      <c r="N79" s="42">
        <v>588151.0</v>
      </c>
      <c r="O79" s="42">
        <v>579002.0</v>
      </c>
      <c r="P79" s="42">
        <v>569558.0</v>
      </c>
      <c r="Q79" s="42">
        <v>560053.0</v>
      </c>
    </row>
    <row r="80" ht="14.25" customHeight="1">
      <c r="A80" s="41" t="s">
        <v>122</v>
      </c>
      <c r="B80" s="42">
        <v>248263.0</v>
      </c>
      <c r="C80" s="42">
        <v>243831.0</v>
      </c>
      <c r="D80" s="42">
        <v>239182.0</v>
      </c>
      <c r="E80" s="42">
        <v>234502.0</v>
      </c>
      <c r="F80" s="42">
        <v>229711.0</v>
      </c>
      <c r="G80" s="42">
        <v>224960.0</v>
      </c>
      <c r="H80" s="42">
        <v>220105.0</v>
      </c>
      <c r="I80" s="42">
        <v>215054.0</v>
      </c>
      <c r="J80" s="42">
        <v>210001.0</v>
      </c>
      <c r="K80" s="42">
        <v>204831.0</v>
      </c>
      <c r="L80" s="42">
        <v>199493.0</v>
      </c>
      <c r="M80" s="42">
        <v>193860.0</v>
      </c>
      <c r="N80" s="42">
        <v>188257.0</v>
      </c>
      <c r="O80" s="42">
        <v>182646.0</v>
      </c>
      <c r="P80" s="42">
        <v>176982.0</v>
      </c>
      <c r="Q80" s="42">
        <v>171369.0</v>
      </c>
    </row>
    <row r="81" ht="14.25" customHeight="1">
      <c r="A81" s="41" t="s">
        <v>123</v>
      </c>
      <c r="B81" s="42">
        <v>204434.0</v>
      </c>
      <c r="C81" s="42">
        <v>202352.0</v>
      </c>
      <c r="D81" s="42">
        <v>200109.0</v>
      </c>
      <c r="E81" s="42">
        <v>197736.0</v>
      </c>
      <c r="F81" s="42">
        <v>195264.0</v>
      </c>
      <c r="G81" s="42">
        <v>192752.0</v>
      </c>
      <c r="H81" s="42">
        <v>190225.0</v>
      </c>
      <c r="I81" s="42">
        <v>187566.0</v>
      </c>
      <c r="J81" s="42">
        <v>184825.0</v>
      </c>
      <c r="K81" s="42">
        <v>181954.0</v>
      </c>
      <c r="L81" s="42">
        <v>179031.0</v>
      </c>
      <c r="M81" s="42">
        <v>175932.0</v>
      </c>
      <c r="N81" s="42">
        <v>172700.0</v>
      </c>
      <c r="O81" s="42">
        <v>169402.0</v>
      </c>
      <c r="P81" s="42">
        <v>166093.0</v>
      </c>
      <c r="Q81" s="42">
        <v>162702.0</v>
      </c>
    </row>
    <row r="82" ht="14.25" customHeight="1">
      <c r="A82" s="41" t="s">
        <v>124</v>
      </c>
      <c r="B82" s="42">
        <v>108099.0</v>
      </c>
      <c r="C82" s="42">
        <v>108689.0</v>
      </c>
      <c r="D82" s="42">
        <v>109287.0</v>
      </c>
      <c r="E82" s="42">
        <v>109863.0</v>
      </c>
      <c r="F82" s="42">
        <v>110417.0</v>
      </c>
      <c r="G82" s="42">
        <v>110908.0</v>
      </c>
      <c r="H82" s="42">
        <v>111348.0</v>
      </c>
      <c r="I82" s="42">
        <v>111736.0</v>
      </c>
      <c r="J82" s="42">
        <v>112007.0</v>
      </c>
      <c r="K82" s="42">
        <v>112164.0</v>
      </c>
      <c r="L82" s="42">
        <v>112188.0</v>
      </c>
      <c r="M82" s="42">
        <v>112079.0</v>
      </c>
      <c r="N82" s="42">
        <v>111810.0</v>
      </c>
      <c r="O82" s="42">
        <v>111394.0</v>
      </c>
      <c r="P82" s="42">
        <v>110890.0</v>
      </c>
      <c r="Q82" s="42">
        <v>110362.0</v>
      </c>
    </row>
    <row r="83" ht="14.25" customHeight="1">
      <c r="A83" s="41" t="s">
        <v>125</v>
      </c>
      <c r="B83" s="42">
        <v>104466.0</v>
      </c>
      <c r="C83" s="42">
        <v>105417.0</v>
      </c>
      <c r="D83" s="42">
        <v>106462.0</v>
      </c>
      <c r="E83" s="42">
        <v>107560.0</v>
      </c>
      <c r="F83" s="42">
        <v>108691.0</v>
      </c>
      <c r="G83" s="42">
        <v>109799.0</v>
      </c>
      <c r="H83" s="42">
        <v>110861.0</v>
      </c>
      <c r="I83" s="42">
        <v>111904.0</v>
      </c>
      <c r="J83" s="42">
        <v>112861.0</v>
      </c>
      <c r="K83" s="42">
        <v>113719.0</v>
      </c>
      <c r="L83" s="42">
        <v>114424.0</v>
      </c>
      <c r="M83" s="42">
        <v>115005.0</v>
      </c>
      <c r="N83" s="42">
        <v>115384.0</v>
      </c>
      <c r="O83" s="42">
        <v>115560.0</v>
      </c>
      <c r="P83" s="42">
        <v>115593.0</v>
      </c>
      <c r="Q83" s="42">
        <v>115620.0</v>
      </c>
    </row>
    <row r="84" ht="14.25" customHeight="1">
      <c r="A84" s="41" t="s">
        <v>126</v>
      </c>
      <c r="B84" s="48">
        <v>2.16</v>
      </c>
      <c r="C84" s="48">
        <v>2.17</v>
      </c>
      <c r="D84" s="48">
        <v>2.19</v>
      </c>
      <c r="E84" s="48">
        <v>2.2</v>
      </c>
      <c r="F84" s="48">
        <v>2.21</v>
      </c>
      <c r="G84" s="48">
        <v>2.23</v>
      </c>
      <c r="H84" s="48">
        <v>2.24</v>
      </c>
      <c r="I84" s="48">
        <v>2.26</v>
      </c>
      <c r="J84" s="48">
        <v>2.27</v>
      </c>
      <c r="K84" s="48">
        <v>2.29</v>
      </c>
      <c r="L84" s="48">
        <v>2.31</v>
      </c>
      <c r="M84" s="48">
        <v>2.32</v>
      </c>
      <c r="N84" s="48">
        <v>2.34</v>
      </c>
      <c r="O84" s="48">
        <v>2.35</v>
      </c>
      <c r="P84" s="48">
        <v>2.37</v>
      </c>
      <c r="Q84" s="48">
        <v>2.39</v>
      </c>
    </row>
    <row r="85" ht="14.25" customHeight="1">
      <c r="A85" s="40" t="s">
        <v>32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4"/>
    </row>
    <row r="86" ht="14.25" customHeight="1">
      <c r="A86" s="41" t="s">
        <v>121</v>
      </c>
      <c r="B86" s="42">
        <v>487892.0</v>
      </c>
      <c r="C86" s="42">
        <v>484237.0</v>
      </c>
      <c r="D86" s="42">
        <v>480394.0</v>
      </c>
      <c r="E86" s="42">
        <v>476431.0</v>
      </c>
      <c r="F86" s="42">
        <v>472331.0</v>
      </c>
      <c r="G86" s="42">
        <v>468142.0</v>
      </c>
      <c r="H86" s="42">
        <v>463834.0</v>
      </c>
      <c r="I86" s="42">
        <v>459204.0</v>
      </c>
      <c r="J86" s="42">
        <v>454355.0</v>
      </c>
      <c r="K86" s="42">
        <v>449152.0</v>
      </c>
      <c r="L86" s="42">
        <v>443593.0</v>
      </c>
      <c r="M86" s="42">
        <v>437476.0</v>
      </c>
      <c r="N86" s="42">
        <v>431008.0</v>
      </c>
      <c r="O86" s="42">
        <v>424215.0</v>
      </c>
      <c r="P86" s="42">
        <v>417223.0</v>
      </c>
      <c r="Q86" s="42">
        <v>410219.0</v>
      </c>
    </row>
    <row r="87" ht="14.25" customHeight="1">
      <c r="A87" s="41" t="s">
        <v>122</v>
      </c>
      <c r="B87" s="42">
        <v>179379.0</v>
      </c>
      <c r="C87" s="42">
        <v>176152.0</v>
      </c>
      <c r="D87" s="42">
        <v>172778.0</v>
      </c>
      <c r="E87" s="42">
        <v>169362.0</v>
      </c>
      <c r="F87" s="42">
        <v>165876.0</v>
      </c>
      <c r="G87" s="42">
        <v>162399.0</v>
      </c>
      <c r="H87" s="42">
        <v>158889.0</v>
      </c>
      <c r="I87" s="42">
        <v>155204.0</v>
      </c>
      <c r="J87" s="42">
        <v>151517.0</v>
      </c>
      <c r="K87" s="42">
        <v>147742.0</v>
      </c>
      <c r="L87" s="42">
        <v>143861.0</v>
      </c>
      <c r="M87" s="42">
        <v>139747.0</v>
      </c>
      <c r="N87" s="42">
        <v>135656.0</v>
      </c>
      <c r="O87" s="42">
        <v>131554.0</v>
      </c>
      <c r="P87" s="42">
        <v>127435.0</v>
      </c>
      <c r="Q87" s="42">
        <v>123376.0</v>
      </c>
    </row>
    <row r="88" ht="14.25" customHeight="1">
      <c r="A88" s="41" t="s">
        <v>123</v>
      </c>
      <c r="B88" s="42">
        <v>152634.0</v>
      </c>
      <c r="C88" s="42">
        <v>151080.0</v>
      </c>
      <c r="D88" s="42">
        <v>149405.0</v>
      </c>
      <c r="E88" s="42">
        <v>147618.0</v>
      </c>
      <c r="F88" s="42">
        <v>145756.0</v>
      </c>
      <c r="G88" s="42">
        <v>143857.0</v>
      </c>
      <c r="H88" s="42">
        <v>141962.0</v>
      </c>
      <c r="I88" s="42">
        <v>139965.0</v>
      </c>
      <c r="J88" s="42">
        <v>137907.0</v>
      </c>
      <c r="K88" s="42">
        <v>135741.0</v>
      </c>
      <c r="L88" s="42">
        <v>133558.0</v>
      </c>
      <c r="M88" s="42">
        <v>131231.0</v>
      </c>
      <c r="N88" s="42">
        <v>128809.0</v>
      </c>
      <c r="O88" s="42">
        <v>126342.0</v>
      </c>
      <c r="P88" s="42">
        <v>123878.0</v>
      </c>
      <c r="Q88" s="42">
        <v>121344.0</v>
      </c>
    </row>
    <row r="89" ht="14.25" customHeight="1">
      <c r="A89" s="41" t="s">
        <v>124</v>
      </c>
      <c r="B89" s="42">
        <v>80417.0</v>
      </c>
      <c r="C89" s="42">
        <v>80836.0</v>
      </c>
      <c r="D89" s="42">
        <v>81264.0</v>
      </c>
      <c r="E89" s="42">
        <v>81677.0</v>
      </c>
      <c r="F89" s="42">
        <v>82075.0</v>
      </c>
      <c r="G89" s="42">
        <v>82422.0</v>
      </c>
      <c r="H89" s="42">
        <v>82729.0</v>
      </c>
      <c r="I89" s="42">
        <v>82999.0</v>
      </c>
      <c r="J89" s="42">
        <v>83178.0</v>
      </c>
      <c r="K89" s="42">
        <v>83269.0</v>
      </c>
      <c r="L89" s="42">
        <v>83252.0</v>
      </c>
      <c r="M89" s="42">
        <v>83141.0</v>
      </c>
      <c r="N89" s="42">
        <v>82906.0</v>
      </c>
      <c r="O89" s="42">
        <v>82560.0</v>
      </c>
      <c r="P89" s="42">
        <v>82146.0</v>
      </c>
      <c r="Q89" s="42">
        <v>81723.0</v>
      </c>
    </row>
    <row r="90" ht="14.25" customHeight="1">
      <c r="A90" s="41" t="s">
        <v>125</v>
      </c>
      <c r="B90" s="42">
        <v>75462.0</v>
      </c>
      <c r="C90" s="42">
        <v>76169.0</v>
      </c>
      <c r="D90" s="42">
        <v>76947.0</v>
      </c>
      <c r="E90" s="42">
        <v>77774.0</v>
      </c>
      <c r="F90" s="42">
        <v>78624.0</v>
      </c>
      <c r="G90" s="42">
        <v>79464.0</v>
      </c>
      <c r="H90" s="42">
        <v>80254.0</v>
      </c>
      <c r="I90" s="42">
        <v>81036.0</v>
      </c>
      <c r="J90" s="42">
        <v>81753.0</v>
      </c>
      <c r="K90" s="42">
        <v>82400.0</v>
      </c>
      <c r="L90" s="42">
        <v>82922.0</v>
      </c>
      <c r="M90" s="42">
        <v>83357.0</v>
      </c>
      <c r="N90" s="42">
        <v>83637.0</v>
      </c>
      <c r="O90" s="42">
        <v>83759.0</v>
      </c>
      <c r="P90" s="42">
        <v>83764.0</v>
      </c>
      <c r="Q90" s="42">
        <v>83776.0</v>
      </c>
    </row>
    <row r="91" ht="14.25" customHeight="1">
      <c r="A91" s="41" t="s">
        <v>126</v>
      </c>
      <c r="B91" s="48">
        <v>2.14</v>
      </c>
      <c r="C91" s="48">
        <v>2.16</v>
      </c>
      <c r="D91" s="48">
        <v>2.17</v>
      </c>
      <c r="E91" s="48">
        <v>2.18</v>
      </c>
      <c r="F91" s="48">
        <v>2.2</v>
      </c>
      <c r="G91" s="48">
        <v>2.21</v>
      </c>
      <c r="H91" s="48">
        <v>2.23</v>
      </c>
      <c r="I91" s="48">
        <v>2.25</v>
      </c>
      <c r="J91" s="48">
        <v>2.26</v>
      </c>
      <c r="K91" s="48">
        <v>2.28</v>
      </c>
      <c r="L91" s="48">
        <v>2.29</v>
      </c>
      <c r="M91" s="48">
        <v>2.31</v>
      </c>
      <c r="N91" s="48">
        <v>2.33</v>
      </c>
      <c r="O91" s="48">
        <v>2.35</v>
      </c>
      <c r="P91" s="48">
        <v>2.36</v>
      </c>
      <c r="Q91" s="48">
        <v>2.38</v>
      </c>
    </row>
    <row r="92" ht="14.25" customHeight="1">
      <c r="A92" s="40" t="s">
        <v>33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4"/>
    </row>
    <row r="93" ht="14.25" customHeight="1">
      <c r="A93" s="41" t="s">
        <v>121</v>
      </c>
      <c r="B93" s="42">
        <v>65848.0</v>
      </c>
      <c r="C93" s="42">
        <v>65399.0</v>
      </c>
      <c r="D93" s="42">
        <v>64907.0</v>
      </c>
      <c r="E93" s="42">
        <v>64415.0</v>
      </c>
      <c r="F93" s="42">
        <v>63902.0</v>
      </c>
      <c r="G93" s="42">
        <v>63384.0</v>
      </c>
      <c r="H93" s="42">
        <v>62823.0</v>
      </c>
      <c r="I93" s="42">
        <v>62238.0</v>
      </c>
      <c r="J93" s="42">
        <v>61631.0</v>
      </c>
      <c r="K93" s="42">
        <v>60982.0</v>
      </c>
      <c r="L93" s="42">
        <v>60291.0</v>
      </c>
      <c r="M93" s="42">
        <v>59541.0</v>
      </c>
      <c r="N93" s="42">
        <v>58741.0</v>
      </c>
      <c r="O93" s="42">
        <v>57927.0</v>
      </c>
      <c r="P93" s="42">
        <v>57083.0</v>
      </c>
      <c r="Q93" s="42">
        <v>56214.0</v>
      </c>
    </row>
    <row r="94" ht="14.25" customHeight="1">
      <c r="A94" s="41" t="s">
        <v>122</v>
      </c>
      <c r="B94" s="42">
        <v>26059.0</v>
      </c>
      <c r="C94" s="42">
        <v>25622.0</v>
      </c>
      <c r="D94" s="42">
        <v>25153.0</v>
      </c>
      <c r="E94" s="42">
        <v>24695.0</v>
      </c>
      <c r="F94" s="42">
        <v>24223.0</v>
      </c>
      <c r="G94" s="42">
        <v>23766.0</v>
      </c>
      <c r="H94" s="42">
        <v>23268.0</v>
      </c>
      <c r="I94" s="42">
        <v>22768.0</v>
      </c>
      <c r="J94" s="42">
        <v>22269.0</v>
      </c>
      <c r="K94" s="42">
        <v>21751.0</v>
      </c>
      <c r="L94" s="42">
        <v>21221.0</v>
      </c>
      <c r="M94" s="42">
        <v>20672.0</v>
      </c>
      <c r="N94" s="42">
        <v>20105.0</v>
      </c>
      <c r="O94" s="42">
        <v>19558.0</v>
      </c>
      <c r="P94" s="42">
        <v>18997.0</v>
      </c>
      <c r="Q94" s="42">
        <v>18421.0</v>
      </c>
    </row>
    <row r="95" ht="14.25" customHeight="1">
      <c r="A95" s="41" t="s">
        <v>123</v>
      </c>
      <c r="B95" s="42">
        <v>18671.0</v>
      </c>
      <c r="C95" s="42">
        <v>18514.0</v>
      </c>
      <c r="D95" s="42">
        <v>18336.0</v>
      </c>
      <c r="E95" s="42">
        <v>18149.0</v>
      </c>
      <c r="F95" s="42">
        <v>17954.0</v>
      </c>
      <c r="G95" s="42">
        <v>17744.0</v>
      </c>
      <c r="H95" s="42">
        <v>17533.0</v>
      </c>
      <c r="I95" s="42">
        <v>17312.0</v>
      </c>
      <c r="J95" s="42">
        <v>17078.0</v>
      </c>
      <c r="K95" s="42">
        <v>16843.0</v>
      </c>
      <c r="L95" s="42">
        <v>16593.0</v>
      </c>
      <c r="M95" s="42">
        <v>16328.0</v>
      </c>
      <c r="N95" s="42">
        <v>16051.0</v>
      </c>
      <c r="O95" s="42">
        <v>15768.0</v>
      </c>
      <c r="P95" s="42">
        <v>15484.0</v>
      </c>
      <c r="Q95" s="42">
        <v>15197.0</v>
      </c>
    </row>
    <row r="96" ht="14.25" customHeight="1">
      <c r="A96" s="41" t="s">
        <v>124</v>
      </c>
      <c r="B96" s="42">
        <v>10676.0</v>
      </c>
      <c r="C96" s="42">
        <v>10710.0</v>
      </c>
      <c r="D96" s="42">
        <v>10743.0</v>
      </c>
      <c r="E96" s="42">
        <v>10771.0</v>
      </c>
      <c r="F96" s="42">
        <v>10798.0</v>
      </c>
      <c r="G96" s="42">
        <v>10817.0</v>
      </c>
      <c r="H96" s="42">
        <v>10835.0</v>
      </c>
      <c r="I96" s="42">
        <v>10846.0</v>
      </c>
      <c r="J96" s="42">
        <v>10849.0</v>
      </c>
      <c r="K96" s="42">
        <v>10843.0</v>
      </c>
      <c r="L96" s="42">
        <v>10830.0</v>
      </c>
      <c r="M96" s="42">
        <v>10803.0</v>
      </c>
      <c r="N96" s="42">
        <v>10767.0</v>
      </c>
      <c r="O96" s="42">
        <v>10719.0</v>
      </c>
      <c r="P96" s="42">
        <v>10665.0</v>
      </c>
      <c r="Q96" s="42">
        <v>10608.0</v>
      </c>
    </row>
    <row r="97" ht="14.25" customHeight="1">
      <c r="A97" s="41" t="s">
        <v>125</v>
      </c>
      <c r="B97" s="42">
        <v>10442.0</v>
      </c>
      <c r="C97" s="42">
        <v>10553.0</v>
      </c>
      <c r="D97" s="42">
        <v>10675.0</v>
      </c>
      <c r="E97" s="42">
        <v>10800.0</v>
      </c>
      <c r="F97" s="42">
        <v>10927.0</v>
      </c>
      <c r="G97" s="42">
        <v>11057.0</v>
      </c>
      <c r="H97" s="42">
        <v>11187.0</v>
      </c>
      <c r="I97" s="42">
        <v>11312.0</v>
      </c>
      <c r="J97" s="42">
        <v>11435.0</v>
      </c>
      <c r="K97" s="42">
        <v>11545.0</v>
      </c>
      <c r="L97" s="42">
        <v>11647.0</v>
      </c>
      <c r="M97" s="42">
        <v>11738.0</v>
      </c>
      <c r="N97" s="42">
        <v>11818.0</v>
      </c>
      <c r="O97" s="42">
        <v>11882.0</v>
      </c>
      <c r="P97" s="42">
        <v>11937.0</v>
      </c>
      <c r="Q97" s="42">
        <v>11988.0</v>
      </c>
    </row>
    <row r="98" ht="14.25" customHeight="1">
      <c r="A98" s="41" t="s">
        <v>126</v>
      </c>
      <c r="B98" s="48">
        <v>2.17</v>
      </c>
      <c r="C98" s="48">
        <v>2.18</v>
      </c>
      <c r="D98" s="48">
        <v>2.2</v>
      </c>
      <c r="E98" s="48">
        <v>2.21</v>
      </c>
      <c r="F98" s="48">
        <v>2.22</v>
      </c>
      <c r="G98" s="48">
        <v>2.24</v>
      </c>
      <c r="H98" s="48">
        <v>2.25</v>
      </c>
      <c r="I98" s="48">
        <v>2.26</v>
      </c>
      <c r="J98" s="48">
        <v>2.28</v>
      </c>
      <c r="K98" s="48">
        <v>2.29</v>
      </c>
      <c r="L98" s="48">
        <v>2.31</v>
      </c>
      <c r="M98" s="48">
        <v>2.32</v>
      </c>
      <c r="N98" s="48">
        <v>2.34</v>
      </c>
      <c r="O98" s="48">
        <v>2.35</v>
      </c>
      <c r="P98" s="48">
        <v>2.37</v>
      </c>
      <c r="Q98" s="48">
        <v>2.38</v>
      </c>
    </row>
    <row r="99" ht="14.25" customHeight="1">
      <c r="A99" s="40" t="s">
        <v>34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4"/>
    </row>
    <row r="100" ht="14.25" customHeight="1">
      <c r="A100" s="41" t="s">
        <v>121</v>
      </c>
      <c r="B100" s="42">
        <v>111522.0</v>
      </c>
      <c r="C100" s="42">
        <v>110653.0</v>
      </c>
      <c r="D100" s="42">
        <v>109739.0</v>
      </c>
      <c r="E100" s="42">
        <v>108815.0</v>
      </c>
      <c r="F100" s="42">
        <v>107850.0</v>
      </c>
      <c r="G100" s="42">
        <v>106893.0</v>
      </c>
      <c r="H100" s="42">
        <v>105882.0</v>
      </c>
      <c r="I100" s="42">
        <v>104818.0</v>
      </c>
      <c r="J100" s="42">
        <v>103708.0</v>
      </c>
      <c r="K100" s="42">
        <v>102534.0</v>
      </c>
      <c r="L100" s="42">
        <v>101252.0</v>
      </c>
      <c r="M100" s="42">
        <v>99859.0</v>
      </c>
      <c r="N100" s="42">
        <v>98402.0</v>
      </c>
      <c r="O100" s="42">
        <v>96860.0</v>
      </c>
      <c r="P100" s="42">
        <v>95252.0</v>
      </c>
      <c r="Q100" s="42">
        <v>93620.0</v>
      </c>
    </row>
    <row r="101" ht="14.25" customHeight="1">
      <c r="A101" s="41" t="s">
        <v>122</v>
      </c>
      <c r="B101" s="42">
        <v>42825.0</v>
      </c>
      <c r="C101" s="42">
        <v>42057.0</v>
      </c>
      <c r="D101" s="42">
        <v>41251.0</v>
      </c>
      <c r="E101" s="42">
        <v>40445.0</v>
      </c>
      <c r="F101" s="42">
        <v>39612.0</v>
      </c>
      <c r="G101" s="42">
        <v>38795.0</v>
      </c>
      <c r="H101" s="42">
        <v>37948.0</v>
      </c>
      <c r="I101" s="42">
        <v>37082.0</v>
      </c>
      <c r="J101" s="42">
        <v>36215.0</v>
      </c>
      <c r="K101" s="42">
        <v>35338.0</v>
      </c>
      <c r="L101" s="42">
        <v>34411.0</v>
      </c>
      <c r="M101" s="42">
        <v>33441.0</v>
      </c>
      <c r="N101" s="42">
        <v>32496.0</v>
      </c>
      <c r="O101" s="42">
        <v>31534.0</v>
      </c>
      <c r="P101" s="42">
        <v>30550.0</v>
      </c>
      <c r="Q101" s="42">
        <v>29572.0</v>
      </c>
    </row>
    <row r="102" ht="14.25" customHeight="1">
      <c r="A102" s="41" t="s">
        <v>123</v>
      </c>
      <c r="B102" s="42">
        <v>33129.0</v>
      </c>
      <c r="C102" s="42">
        <v>32758.0</v>
      </c>
      <c r="D102" s="42">
        <v>32368.0</v>
      </c>
      <c r="E102" s="42">
        <v>31969.0</v>
      </c>
      <c r="F102" s="42">
        <v>31554.0</v>
      </c>
      <c r="G102" s="42">
        <v>31151.0</v>
      </c>
      <c r="H102" s="42">
        <v>30730.0</v>
      </c>
      <c r="I102" s="42">
        <v>30289.0</v>
      </c>
      <c r="J102" s="42">
        <v>29840.0</v>
      </c>
      <c r="K102" s="42">
        <v>29370.0</v>
      </c>
      <c r="L102" s="42">
        <v>28880.0</v>
      </c>
      <c r="M102" s="42">
        <v>28373.0</v>
      </c>
      <c r="N102" s="42">
        <v>27840.0</v>
      </c>
      <c r="O102" s="42">
        <v>27292.0</v>
      </c>
      <c r="P102" s="42">
        <v>26731.0</v>
      </c>
      <c r="Q102" s="42">
        <v>26161.0</v>
      </c>
    </row>
    <row r="103" ht="14.25" customHeight="1">
      <c r="A103" s="41" t="s">
        <v>124</v>
      </c>
      <c r="B103" s="42">
        <v>17006.0</v>
      </c>
      <c r="C103" s="42">
        <v>17143.0</v>
      </c>
      <c r="D103" s="42">
        <v>17280.0</v>
      </c>
      <c r="E103" s="42">
        <v>17415.0</v>
      </c>
      <c r="F103" s="42">
        <v>17544.0</v>
      </c>
      <c r="G103" s="42">
        <v>17669.0</v>
      </c>
      <c r="H103" s="42">
        <v>17784.0</v>
      </c>
      <c r="I103" s="42">
        <v>17891.0</v>
      </c>
      <c r="J103" s="42">
        <v>17980.0</v>
      </c>
      <c r="K103" s="42">
        <v>18052.0</v>
      </c>
      <c r="L103" s="42">
        <v>18106.0</v>
      </c>
      <c r="M103" s="42">
        <v>18135.0</v>
      </c>
      <c r="N103" s="42">
        <v>18137.0</v>
      </c>
      <c r="O103" s="42">
        <v>18115.0</v>
      </c>
      <c r="P103" s="42">
        <v>18079.0</v>
      </c>
      <c r="Q103" s="42">
        <v>18031.0</v>
      </c>
    </row>
    <row r="104" ht="14.25" customHeight="1">
      <c r="A104" s="41" t="s">
        <v>125</v>
      </c>
      <c r="B104" s="42">
        <v>18562.0</v>
      </c>
      <c r="C104" s="42">
        <v>18695.0</v>
      </c>
      <c r="D104" s="42">
        <v>18840.0</v>
      </c>
      <c r="E104" s="42">
        <v>18986.0</v>
      </c>
      <c r="F104" s="42">
        <v>19140.0</v>
      </c>
      <c r="G104" s="42">
        <v>19278.0</v>
      </c>
      <c r="H104" s="42">
        <v>19420.0</v>
      </c>
      <c r="I104" s="42">
        <v>19556.0</v>
      </c>
      <c r="J104" s="42">
        <v>19673.0</v>
      </c>
      <c r="K104" s="42">
        <v>19774.0</v>
      </c>
      <c r="L104" s="42">
        <v>19855.0</v>
      </c>
      <c r="M104" s="42">
        <v>19910.0</v>
      </c>
      <c r="N104" s="42">
        <v>19929.0</v>
      </c>
      <c r="O104" s="42">
        <v>19919.0</v>
      </c>
      <c r="P104" s="42">
        <v>19892.0</v>
      </c>
      <c r="Q104" s="42">
        <v>19856.0</v>
      </c>
    </row>
    <row r="105" ht="14.25" customHeight="1">
      <c r="A105" s="41" t="s">
        <v>126</v>
      </c>
      <c r="B105" s="48">
        <v>2.22</v>
      </c>
      <c r="C105" s="48">
        <v>2.23</v>
      </c>
      <c r="D105" s="48">
        <v>2.25</v>
      </c>
      <c r="E105" s="48">
        <v>2.26</v>
      </c>
      <c r="F105" s="48">
        <v>2.27</v>
      </c>
      <c r="G105" s="48">
        <v>2.29</v>
      </c>
      <c r="H105" s="48">
        <v>2.3</v>
      </c>
      <c r="I105" s="48">
        <v>2.31</v>
      </c>
      <c r="J105" s="48">
        <v>2.33</v>
      </c>
      <c r="K105" s="48">
        <v>2.34</v>
      </c>
      <c r="L105" s="48">
        <v>2.35</v>
      </c>
      <c r="M105" s="48">
        <v>2.37</v>
      </c>
      <c r="N105" s="48">
        <v>2.38</v>
      </c>
      <c r="O105" s="48">
        <v>2.39</v>
      </c>
      <c r="P105" s="48">
        <v>2.4</v>
      </c>
      <c r="Q105" s="48">
        <v>2.42</v>
      </c>
    </row>
    <row r="106" ht="14.25" customHeight="1">
      <c r="A106" s="40" t="s">
        <v>78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4"/>
    </row>
    <row r="107" ht="14.25" customHeight="1">
      <c r="A107" s="41" t="s">
        <v>121</v>
      </c>
      <c r="B107" s="42">
        <v>474487.0</v>
      </c>
      <c r="C107" s="42">
        <v>474241.0</v>
      </c>
      <c r="D107" s="42">
        <v>473796.0</v>
      </c>
      <c r="E107" s="42">
        <v>473216.0</v>
      </c>
      <c r="F107" s="42">
        <v>472550.0</v>
      </c>
      <c r="G107" s="42">
        <v>471796.0</v>
      </c>
      <c r="H107" s="42">
        <v>470963.0</v>
      </c>
      <c r="I107" s="42">
        <v>469843.0</v>
      </c>
      <c r="J107" s="42">
        <v>468588.0</v>
      </c>
      <c r="K107" s="42">
        <v>467188.0</v>
      </c>
      <c r="L107" s="42">
        <v>465471.0</v>
      </c>
      <c r="M107" s="42">
        <v>463503.0</v>
      </c>
      <c r="N107" s="42">
        <v>461303.0</v>
      </c>
      <c r="O107" s="42">
        <v>458908.0</v>
      </c>
      <c r="P107" s="42">
        <v>456378.0</v>
      </c>
      <c r="Q107" s="42">
        <v>453830.0</v>
      </c>
    </row>
    <row r="108" ht="14.25" customHeight="1">
      <c r="A108" s="41" t="s">
        <v>122</v>
      </c>
      <c r="B108" s="42">
        <v>192089.0</v>
      </c>
      <c r="C108" s="42">
        <v>190224.0</v>
      </c>
      <c r="D108" s="42">
        <v>188178.0</v>
      </c>
      <c r="E108" s="42">
        <v>186027.0</v>
      </c>
      <c r="F108" s="42">
        <v>183809.0</v>
      </c>
      <c r="G108" s="42">
        <v>181550.0</v>
      </c>
      <c r="H108" s="42">
        <v>179234.0</v>
      </c>
      <c r="I108" s="42">
        <v>176705.0</v>
      </c>
      <c r="J108" s="42">
        <v>174168.0</v>
      </c>
      <c r="K108" s="42">
        <v>171582.0</v>
      </c>
      <c r="L108" s="42">
        <v>168798.0</v>
      </c>
      <c r="M108" s="42">
        <v>165889.0</v>
      </c>
      <c r="N108" s="42">
        <v>162950.0</v>
      </c>
      <c r="O108" s="42">
        <v>159940.0</v>
      </c>
      <c r="P108" s="42">
        <v>156869.0</v>
      </c>
      <c r="Q108" s="42">
        <v>153834.0</v>
      </c>
    </row>
    <row r="109" ht="14.25" customHeight="1">
      <c r="A109" s="41" t="s">
        <v>123</v>
      </c>
      <c r="B109" s="42">
        <v>157968.0</v>
      </c>
      <c r="C109" s="42">
        <v>157548.0</v>
      </c>
      <c r="D109" s="42">
        <v>156996.0</v>
      </c>
      <c r="E109" s="42">
        <v>156349.0</v>
      </c>
      <c r="F109" s="42">
        <v>155658.0</v>
      </c>
      <c r="G109" s="42">
        <v>154908.0</v>
      </c>
      <c r="H109" s="42">
        <v>154176.0</v>
      </c>
      <c r="I109" s="42">
        <v>153316.0</v>
      </c>
      <c r="J109" s="42">
        <v>152381.0</v>
      </c>
      <c r="K109" s="42">
        <v>151441.0</v>
      </c>
      <c r="L109" s="42">
        <v>150418.0</v>
      </c>
      <c r="M109" s="42">
        <v>149355.0</v>
      </c>
      <c r="N109" s="42">
        <v>148160.0</v>
      </c>
      <c r="O109" s="42">
        <v>146939.0</v>
      </c>
      <c r="P109" s="42">
        <v>145678.0</v>
      </c>
      <c r="Q109" s="42">
        <v>144337.0</v>
      </c>
    </row>
    <row r="110" ht="14.25" customHeight="1">
      <c r="A110" s="41" t="s">
        <v>124</v>
      </c>
      <c r="B110" s="42">
        <v>72436.0</v>
      </c>
      <c r="C110" s="42">
        <v>73618.0</v>
      </c>
      <c r="D110" s="42">
        <v>74846.0</v>
      </c>
      <c r="E110" s="42">
        <v>76095.0</v>
      </c>
      <c r="F110" s="42">
        <v>77351.0</v>
      </c>
      <c r="G110" s="42">
        <v>78607.0</v>
      </c>
      <c r="H110" s="42">
        <v>79844.0</v>
      </c>
      <c r="I110" s="42">
        <v>81080.0</v>
      </c>
      <c r="J110" s="42">
        <v>82278.0</v>
      </c>
      <c r="K110" s="42">
        <v>83432.0</v>
      </c>
      <c r="L110" s="42">
        <v>84552.0</v>
      </c>
      <c r="M110" s="42">
        <v>85628.0</v>
      </c>
      <c r="N110" s="42">
        <v>86665.0</v>
      </c>
      <c r="O110" s="42">
        <v>87654.0</v>
      </c>
      <c r="P110" s="42">
        <v>88627.0</v>
      </c>
      <c r="Q110" s="42">
        <v>89611.0</v>
      </c>
    </row>
    <row r="111" ht="14.25" customHeight="1">
      <c r="A111" s="41" t="s">
        <v>125</v>
      </c>
      <c r="B111" s="42">
        <v>51994.0</v>
      </c>
      <c r="C111" s="42">
        <v>52851.0</v>
      </c>
      <c r="D111" s="42">
        <v>53776.0</v>
      </c>
      <c r="E111" s="42">
        <v>54745.0</v>
      </c>
      <c r="F111" s="42">
        <v>55732.0</v>
      </c>
      <c r="G111" s="42">
        <v>56731.0</v>
      </c>
      <c r="H111" s="42">
        <v>57709.0</v>
      </c>
      <c r="I111" s="42">
        <v>58742.0</v>
      </c>
      <c r="J111" s="42">
        <v>59761.0</v>
      </c>
      <c r="K111" s="42">
        <v>60733.0</v>
      </c>
      <c r="L111" s="42">
        <v>61703.0</v>
      </c>
      <c r="M111" s="42">
        <v>62631.0</v>
      </c>
      <c r="N111" s="42">
        <v>63528.0</v>
      </c>
      <c r="O111" s="42">
        <v>64375.0</v>
      </c>
      <c r="P111" s="42">
        <v>65204.0</v>
      </c>
      <c r="Q111" s="42">
        <v>66048.0</v>
      </c>
    </row>
    <row r="112" ht="14.25" customHeight="1">
      <c r="A112" s="41" t="s">
        <v>126</v>
      </c>
      <c r="B112" s="48">
        <v>2.02</v>
      </c>
      <c r="C112" s="48">
        <v>2.03</v>
      </c>
      <c r="D112" s="48">
        <v>2.04</v>
      </c>
      <c r="E112" s="48">
        <v>2.06</v>
      </c>
      <c r="F112" s="48">
        <v>2.07</v>
      </c>
      <c r="G112" s="48">
        <v>2.08</v>
      </c>
      <c r="H112" s="48">
        <v>2.09</v>
      </c>
      <c r="I112" s="48">
        <v>2.1</v>
      </c>
      <c r="J112" s="48">
        <v>2.12</v>
      </c>
      <c r="K112" s="48">
        <v>2.13</v>
      </c>
      <c r="L112" s="48">
        <v>2.14</v>
      </c>
      <c r="M112" s="48">
        <v>2.16</v>
      </c>
      <c r="N112" s="48">
        <v>2.17</v>
      </c>
      <c r="O112" s="48">
        <v>2.18</v>
      </c>
      <c r="P112" s="48">
        <v>2.2</v>
      </c>
      <c r="Q112" s="48">
        <v>2.21</v>
      </c>
    </row>
    <row r="113" ht="14.25" customHeight="1">
      <c r="A113" s="40" t="s">
        <v>35</v>
      </c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4"/>
    </row>
    <row r="114" ht="14.25" customHeight="1">
      <c r="A114" s="41" t="s">
        <v>121</v>
      </c>
      <c r="B114" s="42">
        <v>474487.0</v>
      </c>
      <c r="C114" s="42">
        <v>474241.0</v>
      </c>
      <c r="D114" s="42">
        <v>473796.0</v>
      </c>
      <c r="E114" s="42">
        <v>473216.0</v>
      </c>
      <c r="F114" s="42">
        <v>472550.0</v>
      </c>
      <c r="G114" s="42">
        <v>471796.0</v>
      </c>
      <c r="H114" s="42">
        <v>470963.0</v>
      </c>
      <c r="I114" s="42">
        <v>469843.0</v>
      </c>
      <c r="J114" s="42">
        <v>468588.0</v>
      </c>
      <c r="K114" s="42">
        <v>467188.0</v>
      </c>
      <c r="L114" s="42">
        <v>465471.0</v>
      </c>
      <c r="M114" s="42">
        <v>463503.0</v>
      </c>
      <c r="N114" s="42">
        <v>461303.0</v>
      </c>
      <c r="O114" s="42">
        <v>458908.0</v>
      </c>
      <c r="P114" s="42">
        <v>456378.0</v>
      </c>
      <c r="Q114" s="42">
        <v>453830.0</v>
      </c>
    </row>
    <row r="115" ht="14.25" customHeight="1">
      <c r="A115" s="41" t="s">
        <v>122</v>
      </c>
      <c r="B115" s="42">
        <v>192089.0</v>
      </c>
      <c r="C115" s="42">
        <v>190224.0</v>
      </c>
      <c r="D115" s="42">
        <v>188178.0</v>
      </c>
      <c r="E115" s="42">
        <v>186027.0</v>
      </c>
      <c r="F115" s="42">
        <v>183809.0</v>
      </c>
      <c r="G115" s="42">
        <v>181550.0</v>
      </c>
      <c r="H115" s="42">
        <v>179234.0</v>
      </c>
      <c r="I115" s="42">
        <v>176705.0</v>
      </c>
      <c r="J115" s="42">
        <v>174168.0</v>
      </c>
      <c r="K115" s="42">
        <v>171582.0</v>
      </c>
      <c r="L115" s="42">
        <v>168798.0</v>
      </c>
      <c r="M115" s="42">
        <v>165889.0</v>
      </c>
      <c r="N115" s="42">
        <v>162950.0</v>
      </c>
      <c r="O115" s="42">
        <v>159940.0</v>
      </c>
      <c r="P115" s="42">
        <v>156869.0</v>
      </c>
      <c r="Q115" s="42">
        <v>153834.0</v>
      </c>
    </row>
    <row r="116" ht="14.25" customHeight="1">
      <c r="A116" s="41" t="s">
        <v>123</v>
      </c>
      <c r="B116" s="42">
        <v>157968.0</v>
      </c>
      <c r="C116" s="42">
        <v>157548.0</v>
      </c>
      <c r="D116" s="42">
        <v>156996.0</v>
      </c>
      <c r="E116" s="42">
        <v>156349.0</v>
      </c>
      <c r="F116" s="42">
        <v>155658.0</v>
      </c>
      <c r="G116" s="42">
        <v>154908.0</v>
      </c>
      <c r="H116" s="42">
        <v>154176.0</v>
      </c>
      <c r="I116" s="42">
        <v>153316.0</v>
      </c>
      <c r="J116" s="42">
        <v>152381.0</v>
      </c>
      <c r="K116" s="42">
        <v>151441.0</v>
      </c>
      <c r="L116" s="42">
        <v>150418.0</v>
      </c>
      <c r="M116" s="42">
        <v>149355.0</v>
      </c>
      <c r="N116" s="42">
        <v>148160.0</v>
      </c>
      <c r="O116" s="42">
        <v>146939.0</v>
      </c>
      <c r="P116" s="42">
        <v>145678.0</v>
      </c>
      <c r="Q116" s="42">
        <v>144337.0</v>
      </c>
    </row>
    <row r="117" ht="14.25" customHeight="1">
      <c r="A117" s="41" t="s">
        <v>124</v>
      </c>
      <c r="B117" s="42">
        <v>72436.0</v>
      </c>
      <c r="C117" s="42">
        <v>73618.0</v>
      </c>
      <c r="D117" s="42">
        <v>74846.0</v>
      </c>
      <c r="E117" s="42">
        <v>76095.0</v>
      </c>
      <c r="F117" s="42">
        <v>77351.0</v>
      </c>
      <c r="G117" s="42">
        <v>78607.0</v>
      </c>
      <c r="H117" s="42">
        <v>79844.0</v>
      </c>
      <c r="I117" s="42">
        <v>81080.0</v>
      </c>
      <c r="J117" s="42">
        <v>82278.0</v>
      </c>
      <c r="K117" s="42">
        <v>83432.0</v>
      </c>
      <c r="L117" s="42">
        <v>84552.0</v>
      </c>
      <c r="M117" s="42">
        <v>85628.0</v>
      </c>
      <c r="N117" s="42">
        <v>86665.0</v>
      </c>
      <c r="O117" s="42">
        <v>87654.0</v>
      </c>
      <c r="P117" s="42">
        <v>88627.0</v>
      </c>
      <c r="Q117" s="42">
        <v>89611.0</v>
      </c>
    </row>
    <row r="118" ht="14.25" customHeight="1">
      <c r="A118" s="41" t="s">
        <v>125</v>
      </c>
      <c r="B118" s="42">
        <v>51994.0</v>
      </c>
      <c r="C118" s="42">
        <v>52851.0</v>
      </c>
      <c r="D118" s="42">
        <v>53776.0</v>
      </c>
      <c r="E118" s="42">
        <v>54745.0</v>
      </c>
      <c r="F118" s="42">
        <v>55732.0</v>
      </c>
      <c r="G118" s="42">
        <v>56731.0</v>
      </c>
      <c r="H118" s="42">
        <v>57709.0</v>
      </c>
      <c r="I118" s="42">
        <v>58742.0</v>
      </c>
      <c r="J118" s="42">
        <v>59761.0</v>
      </c>
      <c r="K118" s="42">
        <v>60733.0</v>
      </c>
      <c r="L118" s="42">
        <v>61703.0</v>
      </c>
      <c r="M118" s="42">
        <v>62631.0</v>
      </c>
      <c r="N118" s="42">
        <v>63528.0</v>
      </c>
      <c r="O118" s="42">
        <v>64375.0</v>
      </c>
      <c r="P118" s="42">
        <v>65204.0</v>
      </c>
      <c r="Q118" s="42">
        <v>66048.0</v>
      </c>
    </row>
    <row r="119" ht="14.25" customHeight="1">
      <c r="A119" s="41" t="s">
        <v>126</v>
      </c>
      <c r="B119" s="48">
        <v>2.02</v>
      </c>
      <c r="C119" s="48">
        <v>2.03</v>
      </c>
      <c r="D119" s="48">
        <v>2.04</v>
      </c>
      <c r="E119" s="48">
        <v>2.06</v>
      </c>
      <c r="F119" s="48">
        <v>2.07</v>
      </c>
      <c r="G119" s="48">
        <v>2.08</v>
      </c>
      <c r="H119" s="48">
        <v>2.09</v>
      </c>
      <c r="I119" s="48">
        <v>2.1</v>
      </c>
      <c r="J119" s="48">
        <v>2.12</v>
      </c>
      <c r="K119" s="48">
        <v>2.13</v>
      </c>
      <c r="L119" s="48">
        <v>2.14</v>
      </c>
      <c r="M119" s="48">
        <v>2.16</v>
      </c>
      <c r="N119" s="48">
        <v>2.17</v>
      </c>
      <c r="O119" s="48">
        <v>2.18</v>
      </c>
      <c r="P119" s="48">
        <v>2.2</v>
      </c>
      <c r="Q119" s="48">
        <v>2.21</v>
      </c>
    </row>
    <row r="120" ht="14.25" customHeight="1">
      <c r="A120" s="40" t="s">
        <v>79</v>
      </c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4"/>
    </row>
    <row r="121" ht="14.25" customHeight="1">
      <c r="A121" s="41" t="s">
        <v>121</v>
      </c>
      <c r="B121" s="42">
        <v>564879.0</v>
      </c>
      <c r="C121" s="42">
        <v>560350.0</v>
      </c>
      <c r="D121" s="42">
        <v>555702.0</v>
      </c>
      <c r="E121" s="42">
        <v>550919.0</v>
      </c>
      <c r="F121" s="42">
        <v>545970.0</v>
      </c>
      <c r="G121" s="42">
        <v>540815.0</v>
      </c>
      <c r="H121" s="42">
        <v>535448.0</v>
      </c>
      <c r="I121" s="42">
        <v>529636.0</v>
      </c>
      <c r="J121" s="42">
        <v>523391.0</v>
      </c>
      <c r="K121" s="42">
        <v>516575.0</v>
      </c>
      <c r="L121" s="42">
        <v>509076.0</v>
      </c>
      <c r="M121" s="42">
        <v>500638.0</v>
      </c>
      <c r="N121" s="42">
        <v>491492.0</v>
      </c>
      <c r="O121" s="42">
        <v>481621.0</v>
      </c>
      <c r="P121" s="42">
        <v>471314.0</v>
      </c>
      <c r="Q121" s="42">
        <v>460787.0</v>
      </c>
    </row>
    <row r="122" ht="14.25" customHeight="1">
      <c r="A122" s="41" t="s">
        <v>122</v>
      </c>
      <c r="B122" s="42">
        <v>163094.0</v>
      </c>
      <c r="C122" s="42">
        <v>160698.0</v>
      </c>
      <c r="D122" s="42">
        <v>158258.0</v>
      </c>
      <c r="E122" s="42">
        <v>155807.0</v>
      </c>
      <c r="F122" s="42">
        <v>153292.0</v>
      </c>
      <c r="G122" s="42">
        <v>150735.0</v>
      </c>
      <c r="H122" s="42">
        <v>148156.0</v>
      </c>
      <c r="I122" s="42">
        <v>145418.0</v>
      </c>
      <c r="J122" s="42">
        <v>142615.0</v>
      </c>
      <c r="K122" s="42">
        <v>139705.0</v>
      </c>
      <c r="L122" s="42">
        <v>136640.0</v>
      </c>
      <c r="M122" s="42">
        <v>133270.0</v>
      </c>
      <c r="N122" s="42">
        <v>129865.0</v>
      </c>
      <c r="O122" s="42">
        <v>126340.0</v>
      </c>
      <c r="P122" s="42">
        <v>122788.0</v>
      </c>
      <c r="Q122" s="42">
        <v>119142.0</v>
      </c>
    </row>
    <row r="123" ht="14.25" customHeight="1">
      <c r="A123" s="41" t="s">
        <v>123</v>
      </c>
      <c r="B123" s="42">
        <v>164092.0</v>
      </c>
      <c r="C123" s="42">
        <v>162355.0</v>
      </c>
      <c r="D123" s="42">
        <v>160549.0</v>
      </c>
      <c r="E123" s="42">
        <v>158638.0</v>
      </c>
      <c r="F123" s="42">
        <v>156663.0</v>
      </c>
      <c r="G123" s="42">
        <v>154606.0</v>
      </c>
      <c r="H123" s="42">
        <v>152506.0</v>
      </c>
      <c r="I123" s="42">
        <v>150247.0</v>
      </c>
      <c r="J123" s="42">
        <v>147868.0</v>
      </c>
      <c r="K123" s="42">
        <v>145334.0</v>
      </c>
      <c r="L123" s="42">
        <v>142646.0</v>
      </c>
      <c r="M123" s="42">
        <v>139697.0</v>
      </c>
      <c r="N123" s="42">
        <v>136555.0</v>
      </c>
      <c r="O123" s="42">
        <v>133238.0</v>
      </c>
      <c r="P123" s="42">
        <v>129823.0</v>
      </c>
      <c r="Q123" s="42">
        <v>126327.0</v>
      </c>
    </row>
    <row r="124" ht="14.25" customHeight="1">
      <c r="A124" s="41" t="s">
        <v>124</v>
      </c>
      <c r="B124" s="42">
        <v>104918.0</v>
      </c>
      <c r="C124" s="42">
        <v>104785.0</v>
      </c>
      <c r="D124" s="42">
        <v>104631.0</v>
      </c>
      <c r="E124" s="42">
        <v>104441.0</v>
      </c>
      <c r="F124" s="42">
        <v>104217.0</v>
      </c>
      <c r="G124" s="42">
        <v>103941.0</v>
      </c>
      <c r="H124" s="42">
        <v>103597.0</v>
      </c>
      <c r="I124" s="42">
        <v>103169.0</v>
      </c>
      <c r="J124" s="42">
        <v>102619.0</v>
      </c>
      <c r="K124" s="42">
        <v>101916.0</v>
      </c>
      <c r="L124" s="42">
        <v>101047.0</v>
      </c>
      <c r="M124" s="42">
        <v>99987.0</v>
      </c>
      <c r="N124" s="42">
        <v>98720.0</v>
      </c>
      <c r="O124" s="42">
        <v>97262.0</v>
      </c>
      <c r="P124" s="42">
        <v>95671.0</v>
      </c>
      <c r="Q124" s="42">
        <v>94036.0</v>
      </c>
    </row>
    <row r="125" ht="14.25" customHeight="1">
      <c r="A125" s="41" t="s">
        <v>125</v>
      </c>
      <c r="B125" s="42">
        <v>132775.0</v>
      </c>
      <c r="C125" s="42">
        <v>132512.0</v>
      </c>
      <c r="D125" s="42">
        <v>132264.0</v>
      </c>
      <c r="E125" s="42">
        <v>132033.0</v>
      </c>
      <c r="F125" s="42">
        <v>131798.0</v>
      </c>
      <c r="G125" s="42">
        <v>131533.0</v>
      </c>
      <c r="H125" s="42">
        <v>131189.0</v>
      </c>
      <c r="I125" s="42">
        <v>130802.0</v>
      </c>
      <c r="J125" s="42">
        <v>130289.0</v>
      </c>
      <c r="K125" s="42">
        <v>129620.0</v>
      </c>
      <c r="L125" s="42">
        <v>128743.0</v>
      </c>
      <c r="M125" s="42">
        <v>127684.0</v>
      </c>
      <c r="N125" s="42">
        <v>126352.0</v>
      </c>
      <c r="O125" s="42">
        <v>124781.0</v>
      </c>
      <c r="P125" s="42">
        <v>123032.0</v>
      </c>
      <c r="Q125" s="42">
        <v>121282.0</v>
      </c>
    </row>
    <row r="126" ht="14.25" customHeight="1">
      <c r="A126" s="41" t="s">
        <v>126</v>
      </c>
      <c r="B126" s="48">
        <v>2.57</v>
      </c>
      <c r="C126" s="48">
        <v>2.58</v>
      </c>
      <c r="D126" s="48">
        <v>2.58</v>
      </c>
      <c r="E126" s="48">
        <v>2.59</v>
      </c>
      <c r="F126" s="48">
        <v>2.6</v>
      </c>
      <c r="G126" s="48">
        <v>2.6</v>
      </c>
      <c r="H126" s="48">
        <v>2.61</v>
      </c>
      <c r="I126" s="48">
        <v>2.61</v>
      </c>
      <c r="J126" s="48">
        <v>2.62</v>
      </c>
      <c r="K126" s="48">
        <v>2.62</v>
      </c>
      <c r="L126" s="48">
        <v>2.63</v>
      </c>
      <c r="M126" s="48">
        <v>2.63</v>
      </c>
      <c r="N126" s="48">
        <v>2.64</v>
      </c>
      <c r="O126" s="48">
        <v>2.64</v>
      </c>
      <c r="P126" s="48">
        <v>2.65</v>
      </c>
      <c r="Q126" s="48">
        <v>2.65</v>
      </c>
    </row>
    <row r="127" ht="14.25" customHeight="1">
      <c r="A127" s="40" t="s">
        <v>79</v>
      </c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4"/>
    </row>
    <row r="128" ht="14.25" customHeight="1">
      <c r="A128" s="41" t="s">
        <v>121</v>
      </c>
      <c r="B128" s="42">
        <v>564879.0</v>
      </c>
      <c r="C128" s="42">
        <v>560350.0</v>
      </c>
      <c r="D128" s="42">
        <v>555702.0</v>
      </c>
      <c r="E128" s="42">
        <v>550919.0</v>
      </c>
      <c r="F128" s="42">
        <v>545970.0</v>
      </c>
      <c r="G128" s="42">
        <v>540815.0</v>
      </c>
      <c r="H128" s="42">
        <v>535448.0</v>
      </c>
      <c r="I128" s="42">
        <v>529636.0</v>
      </c>
      <c r="J128" s="42">
        <v>523391.0</v>
      </c>
      <c r="K128" s="42">
        <v>516575.0</v>
      </c>
      <c r="L128" s="42">
        <v>509076.0</v>
      </c>
      <c r="M128" s="42">
        <v>500638.0</v>
      </c>
      <c r="N128" s="42">
        <v>491492.0</v>
      </c>
      <c r="O128" s="42">
        <v>481621.0</v>
      </c>
      <c r="P128" s="42">
        <v>471314.0</v>
      </c>
      <c r="Q128" s="42">
        <v>460787.0</v>
      </c>
    </row>
    <row r="129" ht="14.25" customHeight="1">
      <c r="A129" s="41" t="s">
        <v>122</v>
      </c>
      <c r="B129" s="42">
        <v>163094.0</v>
      </c>
      <c r="C129" s="42">
        <v>160698.0</v>
      </c>
      <c r="D129" s="42">
        <v>158258.0</v>
      </c>
      <c r="E129" s="42">
        <v>155807.0</v>
      </c>
      <c r="F129" s="42">
        <v>153292.0</v>
      </c>
      <c r="G129" s="42">
        <v>150735.0</v>
      </c>
      <c r="H129" s="42">
        <v>148156.0</v>
      </c>
      <c r="I129" s="42">
        <v>145418.0</v>
      </c>
      <c r="J129" s="42">
        <v>142615.0</v>
      </c>
      <c r="K129" s="42">
        <v>139705.0</v>
      </c>
      <c r="L129" s="42">
        <v>136640.0</v>
      </c>
      <c r="M129" s="42">
        <v>133270.0</v>
      </c>
      <c r="N129" s="42">
        <v>129865.0</v>
      </c>
      <c r="O129" s="42">
        <v>126340.0</v>
      </c>
      <c r="P129" s="42">
        <v>122788.0</v>
      </c>
      <c r="Q129" s="42">
        <v>119142.0</v>
      </c>
    </row>
    <row r="130" ht="14.25" customHeight="1">
      <c r="A130" s="41" t="s">
        <v>123</v>
      </c>
      <c r="B130" s="42">
        <v>164092.0</v>
      </c>
      <c r="C130" s="42">
        <v>162355.0</v>
      </c>
      <c r="D130" s="42">
        <v>160549.0</v>
      </c>
      <c r="E130" s="42">
        <v>158638.0</v>
      </c>
      <c r="F130" s="42">
        <v>156663.0</v>
      </c>
      <c r="G130" s="42">
        <v>154606.0</v>
      </c>
      <c r="H130" s="42">
        <v>152506.0</v>
      </c>
      <c r="I130" s="42">
        <v>150247.0</v>
      </c>
      <c r="J130" s="42">
        <v>147868.0</v>
      </c>
      <c r="K130" s="42">
        <v>145334.0</v>
      </c>
      <c r="L130" s="42">
        <v>142646.0</v>
      </c>
      <c r="M130" s="42">
        <v>139697.0</v>
      </c>
      <c r="N130" s="42">
        <v>136555.0</v>
      </c>
      <c r="O130" s="42">
        <v>133238.0</v>
      </c>
      <c r="P130" s="42">
        <v>129823.0</v>
      </c>
      <c r="Q130" s="42">
        <v>126327.0</v>
      </c>
    </row>
    <row r="131" ht="14.25" customHeight="1">
      <c r="A131" s="41" t="s">
        <v>124</v>
      </c>
      <c r="B131" s="42">
        <v>104918.0</v>
      </c>
      <c r="C131" s="42">
        <v>104785.0</v>
      </c>
      <c r="D131" s="42">
        <v>104631.0</v>
      </c>
      <c r="E131" s="42">
        <v>104441.0</v>
      </c>
      <c r="F131" s="42">
        <v>104217.0</v>
      </c>
      <c r="G131" s="42">
        <v>103941.0</v>
      </c>
      <c r="H131" s="42">
        <v>103597.0</v>
      </c>
      <c r="I131" s="42">
        <v>103169.0</v>
      </c>
      <c r="J131" s="42">
        <v>102619.0</v>
      </c>
      <c r="K131" s="42">
        <v>101916.0</v>
      </c>
      <c r="L131" s="42">
        <v>101047.0</v>
      </c>
      <c r="M131" s="42">
        <v>99987.0</v>
      </c>
      <c r="N131" s="42">
        <v>98720.0</v>
      </c>
      <c r="O131" s="42">
        <v>97262.0</v>
      </c>
      <c r="P131" s="42">
        <v>95671.0</v>
      </c>
      <c r="Q131" s="42">
        <v>94036.0</v>
      </c>
    </row>
    <row r="132" ht="14.25" customHeight="1">
      <c r="A132" s="41" t="s">
        <v>125</v>
      </c>
      <c r="B132" s="42">
        <v>132775.0</v>
      </c>
      <c r="C132" s="42">
        <v>132512.0</v>
      </c>
      <c r="D132" s="42">
        <v>132264.0</v>
      </c>
      <c r="E132" s="42">
        <v>132033.0</v>
      </c>
      <c r="F132" s="42">
        <v>131798.0</v>
      </c>
      <c r="G132" s="42">
        <v>131533.0</v>
      </c>
      <c r="H132" s="42">
        <v>131189.0</v>
      </c>
      <c r="I132" s="42">
        <v>130802.0</v>
      </c>
      <c r="J132" s="42">
        <v>130289.0</v>
      </c>
      <c r="K132" s="42">
        <v>129620.0</v>
      </c>
      <c r="L132" s="42">
        <v>128743.0</v>
      </c>
      <c r="M132" s="42">
        <v>127684.0</v>
      </c>
      <c r="N132" s="42">
        <v>126352.0</v>
      </c>
      <c r="O132" s="42">
        <v>124781.0</v>
      </c>
      <c r="P132" s="42">
        <v>123032.0</v>
      </c>
      <c r="Q132" s="42">
        <v>121282.0</v>
      </c>
    </row>
    <row r="133" ht="14.25" customHeight="1">
      <c r="A133" s="41" t="s">
        <v>126</v>
      </c>
      <c r="B133" s="48">
        <v>2.57</v>
      </c>
      <c r="C133" s="48">
        <v>2.58</v>
      </c>
      <c r="D133" s="48">
        <v>2.58</v>
      </c>
      <c r="E133" s="48">
        <v>2.59</v>
      </c>
      <c r="F133" s="48">
        <v>2.6</v>
      </c>
      <c r="G133" s="48">
        <v>2.6</v>
      </c>
      <c r="H133" s="48">
        <v>2.61</v>
      </c>
      <c r="I133" s="48">
        <v>2.61</v>
      </c>
      <c r="J133" s="48">
        <v>2.62</v>
      </c>
      <c r="K133" s="48">
        <v>2.62</v>
      </c>
      <c r="L133" s="48">
        <v>2.63</v>
      </c>
      <c r="M133" s="48">
        <v>2.63</v>
      </c>
      <c r="N133" s="48">
        <v>2.64</v>
      </c>
      <c r="O133" s="48">
        <v>2.64</v>
      </c>
      <c r="P133" s="48">
        <v>2.65</v>
      </c>
      <c r="Q133" s="48">
        <v>2.65</v>
      </c>
    </row>
    <row r="134" ht="14.25" customHeight="1">
      <c r="A134" s="40" t="s">
        <v>80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4"/>
    </row>
    <row r="135" ht="14.25" customHeight="1">
      <c r="A135" s="41" t="s">
        <v>121</v>
      </c>
      <c r="B135" s="42">
        <v>1022430.0</v>
      </c>
      <c r="C135" s="42">
        <v>1015905.0</v>
      </c>
      <c r="D135" s="42">
        <v>1009056.0</v>
      </c>
      <c r="E135" s="42">
        <v>1001858.0</v>
      </c>
      <c r="F135" s="42">
        <v>994325.0</v>
      </c>
      <c r="G135" s="42">
        <v>986331.0</v>
      </c>
      <c r="H135" s="42">
        <v>977836.0</v>
      </c>
      <c r="I135" s="42">
        <v>968539.0</v>
      </c>
      <c r="J135" s="42">
        <v>958445.0</v>
      </c>
      <c r="K135" s="42">
        <v>947337.0</v>
      </c>
      <c r="L135" s="42">
        <v>935015.0</v>
      </c>
      <c r="M135" s="42">
        <v>921267.0</v>
      </c>
      <c r="N135" s="42">
        <v>906167.0</v>
      </c>
      <c r="O135" s="42">
        <v>889817.0</v>
      </c>
      <c r="P135" s="42">
        <v>872513.0</v>
      </c>
      <c r="Q135" s="42">
        <v>854743.0</v>
      </c>
    </row>
    <row r="136" ht="14.25" customHeight="1">
      <c r="A136" s="41" t="s">
        <v>122</v>
      </c>
      <c r="B136" s="42">
        <v>323737.0</v>
      </c>
      <c r="C136" s="42">
        <v>319210.0</v>
      </c>
      <c r="D136" s="42">
        <v>314506.0</v>
      </c>
      <c r="E136" s="42">
        <v>309642.0</v>
      </c>
      <c r="F136" s="42">
        <v>304645.0</v>
      </c>
      <c r="G136" s="42">
        <v>299468.0</v>
      </c>
      <c r="H136" s="42">
        <v>294147.0</v>
      </c>
      <c r="I136" s="42">
        <v>288524.0</v>
      </c>
      <c r="J136" s="42">
        <v>282700.0</v>
      </c>
      <c r="K136" s="42">
        <v>276623.0</v>
      </c>
      <c r="L136" s="42">
        <v>270216.0</v>
      </c>
      <c r="M136" s="42">
        <v>263407.0</v>
      </c>
      <c r="N136" s="42">
        <v>256318.0</v>
      </c>
      <c r="O136" s="42">
        <v>248957.0</v>
      </c>
      <c r="P136" s="42">
        <v>241352.0</v>
      </c>
      <c r="Q136" s="42">
        <v>233684.0</v>
      </c>
    </row>
    <row r="137" ht="14.25" customHeight="1">
      <c r="A137" s="41" t="s">
        <v>123</v>
      </c>
      <c r="B137" s="42">
        <v>301428.0</v>
      </c>
      <c r="C137" s="42">
        <v>298278.0</v>
      </c>
      <c r="D137" s="42">
        <v>294971.0</v>
      </c>
      <c r="E137" s="42">
        <v>291490.0</v>
      </c>
      <c r="F137" s="42">
        <v>287868.0</v>
      </c>
      <c r="G137" s="42">
        <v>284064.0</v>
      </c>
      <c r="H137" s="42">
        <v>280086.0</v>
      </c>
      <c r="I137" s="42">
        <v>275803.0</v>
      </c>
      <c r="J137" s="42">
        <v>271291.0</v>
      </c>
      <c r="K137" s="42">
        <v>266477.0</v>
      </c>
      <c r="L137" s="42">
        <v>261334.0</v>
      </c>
      <c r="M137" s="42">
        <v>255789.0</v>
      </c>
      <c r="N137" s="42">
        <v>249867.0</v>
      </c>
      <c r="O137" s="42">
        <v>243633.0</v>
      </c>
      <c r="P137" s="42">
        <v>237157.0</v>
      </c>
      <c r="Q137" s="42">
        <v>230524.0</v>
      </c>
    </row>
    <row r="138" ht="14.25" customHeight="1">
      <c r="A138" s="41" t="s">
        <v>124</v>
      </c>
      <c r="B138" s="42">
        <v>197096.0</v>
      </c>
      <c r="C138" s="42">
        <v>196949.0</v>
      </c>
      <c r="D138" s="42">
        <v>196760.0</v>
      </c>
      <c r="E138" s="42">
        <v>196529.0</v>
      </c>
      <c r="F138" s="42">
        <v>196244.0</v>
      </c>
      <c r="G138" s="42">
        <v>195882.0</v>
      </c>
      <c r="H138" s="42">
        <v>195423.0</v>
      </c>
      <c r="I138" s="42">
        <v>194814.0</v>
      </c>
      <c r="J138" s="42">
        <v>194020.0</v>
      </c>
      <c r="K138" s="42">
        <v>192988.0</v>
      </c>
      <c r="L138" s="42">
        <v>191676.0</v>
      </c>
      <c r="M138" s="42">
        <v>190040.0</v>
      </c>
      <c r="N138" s="42">
        <v>188082.0</v>
      </c>
      <c r="O138" s="42">
        <v>185821.0</v>
      </c>
      <c r="P138" s="42">
        <v>183350.0</v>
      </c>
      <c r="Q138" s="42">
        <v>180757.0</v>
      </c>
    </row>
    <row r="139" ht="14.25" customHeight="1">
      <c r="A139" s="41" t="s">
        <v>125</v>
      </c>
      <c r="B139" s="42">
        <v>200169.0</v>
      </c>
      <c r="C139" s="42">
        <v>201468.0</v>
      </c>
      <c r="D139" s="42">
        <v>202819.0</v>
      </c>
      <c r="E139" s="42">
        <v>204197.0</v>
      </c>
      <c r="F139" s="42">
        <v>205568.0</v>
      </c>
      <c r="G139" s="42">
        <v>206917.0</v>
      </c>
      <c r="H139" s="42">
        <v>208180.0</v>
      </c>
      <c r="I139" s="42">
        <v>209398.0</v>
      </c>
      <c r="J139" s="42">
        <v>210434.0</v>
      </c>
      <c r="K139" s="42">
        <v>211249.0</v>
      </c>
      <c r="L139" s="42">
        <v>211789.0</v>
      </c>
      <c r="M139" s="42">
        <v>212031.0</v>
      </c>
      <c r="N139" s="42">
        <v>211900.0</v>
      </c>
      <c r="O139" s="42">
        <v>211406.0</v>
      </c>
      <c r="P139" s="42">
        <v>210654.0</v>
      </c>
      <c r="Q139" s="42">
        <v>209778.0</v>
      </c>
    </row>
    <row r="140" ht="14.25" customHeight="1">
      <c r="A140" s="41" t="s">
        <v>126</v>
      </c>
      <c r="B140" s="48">
        <v>2.44</v>
      </c>
      <c r="C140" s="48">
        <v>2.45</v>
      </c>
      <c r="D140" s="48">
        <v>2.46</v>
      </c>
      <c r="E140" s="48">
        <v>2.47</v>
      </c>
      <c r="F140" s="48">
        <v>2.48</v>
      </c>
      <c r="G140" s="48">
        <v>2.49</v>
      </c>
      <c r="H140" s="48">
        <v>2.5</v>
      </c>
      <c r="I140" s="48">
        <v>2.51</v>
      </c>
      <c r="J140" s="48">
        <v>2.52</v>
      </c>
      <c r="K140" s="48">
        <v>2.53</v>
      </c>
      <c r="L140" s="48">
        <v>2.54</v>
      </c>
      <c r="M140" s="48">
        <v>2.56</v>
      </c>
      <c r="N140" s="48">
        <v>2.57</v>
      </c>
      <c r="O140" s="48">
        <v>2.58</v>
      </c>
      <c r="P140" s="48">
        <v>2.59</v>
      </c>
      <c r="Q140" s="48">
        <v>2.6</v>
      </c>
    </row>
    <row r="141" ht="14.25" customHeight="1">
      <c r="A141" s="40" t="s">
        <v>36</v>
      </c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4"/>
    </row>
    <row r="142" ht="14.25" customHeight="1">
      <c r="A142" s="41" t="s">
        <v>121</v>
      </c>
      <c r="B142" s="42">
        <v>498201.0</v>
      </c>
      <c r="C142" s="42">
        <v>495063.0</v>
      </c>
      <c r="D142" s="42">
        <v>491751.0</v>
      </c>
      <c r="E142" s="42">
        <v>488254.0</v>
      </c>
      <c r="F142" s="42">
        <v>484595.0</v>
      </c>
      <c r="G142" s="42">
        <v>480721.0</v>
      </c>
      <c r="H142" s="42">
        <v>476608.0</v>
      </c>
      <c r="I142" s="42">
        <v>472103.0</v>
      </c>
      <c r="J142" s="42">
        <v>467156.0</v>
      </c>
      <c r="K142" s="42">
        <v>461678.0</v>
      </c>
      <c r="L142" s="42">
        <v>455527.0</v>
      </c>
      <c r="M142" s="42">
        <v>448589.0</v>
      </c>
      <c r="N142" s="42">
        <v>440921.0</v>
      </c>
      <c r="O142" s="42">
        <v>432569.0</v>
      </c>
      <c r="P142" s="42">
        <v>423696.0</v>
      </c>
      <c r="Q142" s="42">
        <v>414552.0</v>
      </c>
    </row>
    <row r="143" ht="14.25" customHeight="1">
      <c r="A143" s="41" t="s">
        <v>122</v>
      </c>
      <c r="B143" s="42">
        <v>155067.0</v>
      </c>
      <c r="C143" s="42">
        <v>153102.0</v>
      </c>
      <c r="D143" s="42">
        <v>151040.0</v>
      </c>
      <c r="E143" s="42">
        <v>148891.0</v>
      </c>
      <c r="F143" s="42">
        <v>146689.0</v>
      </c>
      <c r="G143" s="42">
        <v>144417.0</v>
      </c>
      <c r="H143" s="42">
        <v>142104.0</v>
      </c>
      <c r="I143" s="42">
        <v>139667.0</v>
      </c>
      <c r="J143" s="42">
        <v>137114.0</v>
      </c>
      <c r="K143" s="42">
        <v>134441.0</v>
      </c>
      <c r="L143" s="42">
        <v>131578.0</v>
      </c>
      <c r="M143" s="42">
        <v>128490.0</v>
      </c>
      <c r="N143" s="42">
        <v>125252.0</v>
      </c>
      <c r="O143" s="42">
        <v>121870.0</v>
      </c>
      <c r="P143" s="42">
        <v>118353.0</v>
      </c>
      <c r="Q143" s="42">
        <v>114793.0</v>
      </c>
    </row>
    <row r="144" ht="14.25" customHeight="1">
      <c r="A144" s="41" t="s">
        <v>123</v>
      </c>
      <c r="B144" s="42">
        <v>148677.0</v>
      </c>
      <c r="C144" s="42">
        <v>147038.0</v>
      </c>
      <c r="D144" s="42">
        <v>145314.0</v>
      </c>
      <c r="E144" s="42">
        <v>143499.0</v>
      </c>
      <c r="F144" s="42">
        <v>141616.0</v>
      </c>
      <c r="G144" s="42">
        <v>139657.0</v>
      </c>
      <c r="H144" s="42">
        <v>137614.0</v>
      </c>
      <c r="I144" s="42">
        <v>135433.0</v>
      </c>
      <c r="J144" s="42">
        <v>133127.0</v>
      </c>
      <c r="K144" s="42">
        <v>130671.0</v>
      </c>
      <c r="L144" s="42">
        <v>128035.0</v>
      </c>
      <c r="M144" s="42">
        <v>125175.0</v>
      </c>
      <c r="N144" s="42">
        <v>122120.0</v>
      </c>
      <c r="O144" s="42">
        <v>118897.0</v>
      </c>
      <c r="P144" s="42">
        <v>115555.0</v>
      </c>
      <c r="Q144" s="42">
        <v>112138.0</v>
      </c>
    </row>
    <row r="145" ht="14.25" customHeight="1">
      <c r="A145" s="41" t="s">
        <v>124</v>
      </c>
      <c r="B145" s="42">
        <v>96119.0</v>
      </c>
      <c r="C145" s="42">
        <v>96009.0</v>
      </c>
      <c r="D145" s="42">
        <v>95879.0</v>
      </c>
      <c r="E145" s="42">
        <v>95732.0</v>
      </c>
      <c r="F145" s="42">
        <v>95554.0</v>
      </c>
      <c r="G145" s="42">
        <v>95334.0</v>
      </c>
      <c r="H145" s="42">
        <v>95060.0</v>
      </c>
      <c r="I145" s="42">
        <v>94700.0</v>
      </c>
      <c r="J145" s="42">
        <v>94242.0</v>
      </c>
      <c r="K145" s="42">
        <v>93658.0</v>
      </c>
      <c r="L145" s="42">
        <v>92923.0</v>
      </c>
      <c r="M145" s="42">
        <v>92017.0</v>
      </c>
      <c r="N145" s="42">
        <v>90939.0</v>
      </c>
      <c r="O145" s="42">
        <v>89698.0</v>
      </c>
      <c r="P145" s="42">
        <v>88343.0</v>
      </c>
      <c r="Q145" s="42">
        <v>86921.0</v>
      </c>
    </row>
    <row r="146" ht="14.25" customHeight="1">
      <c r="A146" s="41" t="s">
        <v>125</v>
      </c>
      <c r="B146" s="42">
        <v>98338.0</v>
      </c>
      <c r="C146" s="42">
        <v>98914.0</v>
      </c>
      <c r="D146" s="42">
        <v>99518.0</v>
      </c>
      <c r="E146" s="42">
        <v>100132.0</v>
      </c>
      <c r="F146" s="42">
        <v>100736.0</v>
      </c>
      <c r="G146" s="42">
        <v>101313.0</v>
      </c>
      <c r="H146" s="42">
        <v>101830.0</v>
      </c>
      <c r="I146" s="42">
        <v>102303.0</v>
      </c>
      <c r="J146" s="42">
        <v>102673.0</v>
      </c>
      <c r="K146" s="42">
        <v>102908.0</v>
      </c>
      <c r="L146" s="42">
        <v>102991.0</v>
      </c>
      <c r="M146" s="42">
        <v>102907.0</v>
      </c>
      <c r="N146" s="42">
        <v>102610.0</v>
      </c>
      <c r="O146" s="42">
        <v>102104.0</v>
      </c>
      <c r="P146" s="42">
        <v>101445.0</v>
      </c>
      <c r="Q146" s="42">
        <v>100700.0</v>
      </c>
    </row>
    <row r="147" ht="14.25" customHeight="1">
      <c r="A147" s="41" t="s">
        <v>126</v>
      </c>
      <c r="B147" s="48">
        <v>2.44</v>
      </c>
      <c r="C147" s="48">
        <v>2.45</v>
      </c>
      <c r="D147" s="48">
        <v>2.46</v>
      </c>
      <c r="E147" s="48">
        <v>2.47</v>
      </c>
      <c r="F147" s="48">
        <v>2.48</v>
      </c>
      <c r="G147" s="48">
        <v>2.49</v>
      </c>
      <c r="H147" s="48">
        <v>2.5</v>
      </c>
      <c r="I147" s="48">
        <v>2.51</v>
      </c>
      <c r="J147" s="48">
        <v>2.52</v>
      </c>
      <c r="K147" s="48">
        <v>2.53</v>
      </c>
      <c r="L147" s="48">
        <v>2.54</v>
      </c>
      <c r="M147" s="48">
        <v>2.55</v>
      </c>
      <c r="N147" s="48">
        <v>2.56</v>
      </c>
      <c r="O147" s="48">
        <v>2.57</v>
      </c>
      <c r="P147" s="48">
        <v>2.58</v>
      </c>
      <c r="Q147" s="48">
        <v>2.59</v>
      </c>
    </row>
    <row r="148" ht="14.25" customHeight="1">
      <c r="A148" s="40" t="s">
        <v>81</v>
      </c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4"/>
    </row>
    <row r="149" ht="14.25" customHeight="1">
      <c r="A149" s="41" t="s">
        <v>121</v>
      </c>
      <c r="B149" s="42">
        <v>524229.0</v>
      </c>
      <c r="C149" s="42">
        <v>520842.0</v>
      </c>
      <c r="D149" s="42">
        <v>517305.0</v>
      </c>
      <c r="E149" s="42">
        <v>513604.0</v>
      </c>
      <c r="F149" s="42">
        <v>509730.0</v>
      </c>
      <c r="G149" s="42">
        <v>505610.0</v>
      </c>
      <c r="H149" s="42">
        <v>501228.0</v>
      </c>
      <c r="I149" s="42">
        <v>496436.0</v>
      </c>
      <c r="J149" s="42">
        <v>491289.0</v>
      </c>
      <c r="K149" s="42">
        <v>485659.0</v>
      </c>
      <c r="L149" s="42">
        <v>479488.0</v>
      </c>
      <c r="M149" s="42">
        <v>472678.0</v>
      </c>
      <c r="N149" s="42">
        <v>465246.0</v>
      </c>
      <c r="O149" s="42">
        <v>457248.0</v>
      </c>
      <c r="P149" s="42">
        <v>448817.0</v>
      </c>
      <c r="Q149" s="42">
        <v>440191.0</v>
      </c>
    </row>
    <row r="150" ht="14.25" customHeight="1">
      <c r="A150" s="41" t="s">
        <v>122</v>
      </c>
      <c r="B150" s="42">
        <v>168670.0</v>
      </c>
      <c r="C150" s="42">
        <v>166108.0</v>
      </c>
      <c r="D150" s="42">
        <v>163466.0</v>
      </c>
      <c r="E150" s="42">
        <v>160751.0</v>
      </c>
      <c r="F150" s="42">
        <v>157956.0</v>
      </c>
      <c r="G150" s="42">
        <v>155051.0</v>
      </c>
      <c r="H150" s="42">
        <v>152043.0</v>
      </c>
      <c r="I150" s="42">
        <v>148857.0</v>
      </c>
      <c r="J150" s="42">
        <v>145586.0</v>
      </c>
      <c r="K150" s="42">
        <v>142182.0</v>
      </c>
      <c r="L150" s="42">
        <v>138638.0</v>
      </c>
      <c r="M150" s="42">
        <v>134917.0</v>
      </c>
      <c r="N150" s="42">
        <v>131066.0</v>
      </c>
      <c r="O150" s="42">
        <v>127087.0</v>
      </c>
      <c r="P150" s="42">
        <v>122999.0</v>
      </c>
      <c r="Q150" s="42">
        <v>118891.0</v>
      </c>
    </row>
    <row r="151" ht="14.25" customHeight="1">
      <c r="A151" s="41" t="s">
        <v>123</v>
      </c>
      <c r="B151" s="42">
        <v>152751.0</v>
      </c>
      <c r="C151" s="42">
        <v>151240.0</v>
      </c>
      <c r="D151" s="42">
        <v>149657.0</v>
      </c>
      <c r="E151" s="42">
        <v>147991.0</v>
      </c>
      <c r="F151" s="42">
        <v>146252.0</v>
      </c>
      <c r="G151" s="42">
        <v>144407.0</v>
      </c>
      <c r="H151" s="42">
        <v>142472.0</v>
      </c>
      <c r="I151" s="42">
        <v>140370.0</v>
      </c>
      <c r="J151" s="42">
        <v>138164.0</v>
      </c>
      <c r="K151" s="42">
        <v>135806.0</v>
      </c>
      <c r="L151" s="42">
        <v>133299.0</v>
      </c>
      <c r="M151" s="42">
        <v>130614.0</v>
      </c>
      <c r="N151" s="42">
        <v>127747.0</v>
      </c>
      <c r="O151" s="42">
        <v>124736.0</v>
      </c>
      <c r="P151" s="42">
        <v>121602.0</v>
      </c>
      <c r="Q151" s="42">
        <v>118386.0</v>
      </c>
    </row>
    <row r="152" ht="14.25" customHeight="1">
      <c r="A152" s="41" t="s">
        <v>124</v>
      </c>
      <c r="B152" s="42">
        <v>100977.0</v>
      </c>
      <c r="C152" s="42">
        <v>100940.0</v>
      </c>
      <c r="D152" s="42">
        <v>100881.0</v>
      </c>
      <c r="E152" s="42">
        <v>100797.0</v>
      </c>
      <c r="F152" s="42">
        <v>100690.0</v>
      </c>
      <c r="G152" s="42">
        <v>100548.0</v>
      </c>
      <c r="H152" s="42">
        <v>100363.0</v>
      </c>
      <c r="I152" s="42">
        <v>100114.0</v>
      </c>
      <c r="J152" s="42">
        <v>99778.0</v>
      </c>
      <c r="K152" s="42">
        <v>99330.0</v>
      </c>
      <c r="L152" s="42">
        <v>98753.0</v>
      </c>
      <c r="M152" s="42">
        <v>98023.0</v>
      </c>
      <c r="N152" s="42">
        <v>97143.0</v>
      </c>
      <c r="O152" s="42">
        <v>96123.0</v>
      </c>
      <c r="P152" s="42">
        <v>95007.0</v>
      </c>
      <c r="Q152" s="42">
        <v>93836.0</v>
      </c>
    </row>
    <row r="153" ht="14.25" customHeight="1">
      <c r="A153" s="41" t="s">
        <v>125</v>
      </c>
      <c r="B153" s="42">
        <v>101831.0</v>
      </c>
      <c r="C153" s="42">
        <v>102554.0</v>
      </c>
      <c r="D153" s="42">
        <v>103301.0</v>
      </c>
      <c r="E153" s="42">
        <v>104065.0</v>
      </c>
      <c r="F153" s="42">
        <v>104832.0</v>
      </c>
      <c r="G153" s="42">
        <v>105604.0</v>
      </c>
      <c r="H153" s="42">
        <v>106350.0</v>
      </c>
      <c r="I153" s="42">
        <v>107095.0</v>
      </c>
      <c r="J153" s="42">
        <v>107761.0</v>
      </c>
      <c r="K153" s="42">
        <v>108341.0</v>
      </c>
      <c r="L153" s="42">
        <v>108798.0</v>
      </c>
      <c r="M153" s="42">
        <v>109124.0</v>
      </c>
      <c r="N153" s="42">
        <v>109290.0</v>
      </c>
      <c r="O153" s="42">
        <v>109302.0</v>
      </c>
      <c r="P153" s="42">
        <v>109209.0</v>
      </c>
      <c r="Q153" s="42">
        <v>109078.0</v>
      </c>
    </row>
    <row r="154" ht="14.25" customHeight="1">
      <c r="A154" s="41" t="s">
        <v>126</v>
      </c>
      <c r="B154" s="48">
        <v>2.43</v>
      </c>
      <c r="C154" s="48">
        <v>2.44</v>
      </c>
      <c r="D154" s="48">
        <v>2.45</v>
      </c>
      <c r="E154" s="48">
        <v>2.46</v>
      </c>
      <c r="F154" s="48">
        <v>2.47</v>
      </c>
      <c r="G154" s="48">
        <v>2.49</v>
      </c>
      <c r="H154" s="48">
        <v>2.5</v>
      </c>
      <c r="I154" s="48">
        <v>2.51</v>
      </c>
      <c r="J154" s="48">
        <v>2.52</v>
      </c>
      <c r="K154" s="48">
        <v>2.54</v>
      </c>
      <c r="L154" s="48">
        <v>2.55</v>
      </c>
      <c r="M154" s="48">
        <v>2.56</v>
      </c>
      <c r="N154" s="48">
        <v>2.58</v>
      </c>
      <c r="O154" s="48">
        <v>2.59</v>
      </c>
      <c r="P154" s="48">
        <v>2.6</v>
      </c>
      <c r="Q154" s="48">
        <v>2.62</v>
      </c>
    </row>
    <row r="155" ht="14.25" customHeight="1">
      <c r="A155" s="40" t="s">
        <v>37</v>
      </c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4"/>
    </row>
    <row r="156" ht="14.25" customHeight="1">
      <c r="A156" s="41" t="s">
        <v>121</v>
      </c>
      <c r="B156" s="42">
        <v>275097.0</v>
      </c>
      <c r="C156" s="42">
        <v>273858.0</v>
      </c>
      <c r="D156" s="42">
        <v>272512.0</v>
      </c>
      <c r="E156" s="42">
        <v>271086.0</v>
      </c>
      <c r="F156" s="42">
        <v>269631.0</v>
      </c>
      <c r="G156" s="42">
        <v>268119.0</v>
      </c>
      <c r="H156" s="42">
        <v>266506.0</v>
      </c>
      <c r="I156" s="42">
        <v>264756.0</v>
      </c>
      <c r="J156" s="42">
        <v>262903.0</v>
      </c>
      <c r="K156" s="42">
        <v>260853.0</v>
      </c>
      <c r="L156" s="42">
        <v>258651.0</v>
      </c>
      <c r="M156" s="42">
        <v>256227.0</v>
      </c>
      <c r="N156" s="42">
        <v>253659.0</v>
      </c>
      <c r="O156" s="42">
        <v>250916.0</v>
      </c>
      <c r="P156" s="42">
        <v>248056.0</v>
      </c>
      <c r="Q156" s="42">
        <v>245182.0</v>
      </c>
    </row>
    <row r="157" ht="14.25" customHeight="1">
      <c r="A157" s="41" t="s">
        <v>122</v>
      </c>
      <c r="B157" s="42">
        <v>99829.0</v>
      </c>
      <c r="C157" s="42">
        <v>98471.0</v>
      </c>
      <c r="D157" s="42">
        <v>97022.0</v>
      </c>
      <c r="E157" s="42">
        <v>95540.0</v>
      </c>
      <c r="F157" s="42">
        <v>94050.0</v>
      </c>
      <c r="G157" s="42">
        <v>92535.0</v>
      </c>
      <c r="H157" s="42">
        <v>90963.0</v>
      </c>
      <c r="I157" s="42">
        <v>89329.0</v>
      </c>
      <c r="J157" s="42">
        <v>87685.0</v>
      </c>
      <c r="K157" s="42">
        <v>85969.0</v>
      </c>
      <c r="L157" s="42">
        <v>84218.0</v>
      </c>
      <c r="M157" s="42">
        <v>82392.0</v>
      </c>
      <c r="N157" s="42">
        <v>80587.0</v>
      </c>
      <c r="O157" s="42">
        <v>78755.0</v>
      </c>
      <c r="P157" s="42">
        <v>76907.0</v>
      </c>
      <c r="Q157" s="42">
        <v>75107.0</v>
      </c>
    </row>
    <row r="158" ht="14.25" customHeight="1">
      <c r="A158" s="41" t="s">
        <v>123</v>
      </c>
      <c r="B158" s="42">
        <v>88609.0</v>
      </c>
      <c r="C158" s="42">
        <v>87750.0</v>
      </c>
      <c r="D158" s="42">
        <v>86842.0</v>
      </c>
      <c r="E158" s="42">
        <v>85855.0</v>
      </c>
      <c r="F158" s="42">
        <v>84861.0</v>
      </c>
      <c r="G158" s="42">
        <v>83867.0</v>
      </c>
      <c r="H158" s="42">
        <v>82842.0</v>
      </c>
      <c r="I158" s="42">
        <v>81763.0</v>
      </c>
      <c r="J158" s="42">
        <v>80663.0</v>
      </c>
      <c r="K158" s="42">
        <v>79483.0</v>
      </c>
      <c r="L158" s="42">
        <v>78282.0</v>
      </c>
      <c r="M158" s="42">
        <v>77022.0</v>
      </c>
      <c r="N158" s="42">
        <v>75719.0</v>
      </c>
      <c r="O158" s="42">
        <v>74371.0</v>
      </c>
      <c r="P158" s="42">
        <v>73006.0</v>
      </c>
      <c r="Q158" s="42">
        <v>71649.0</v>
      </c>
    </row>
    <row r="159" ht="14.25" customHeight="1">
      <c r="A159" s="41" t="s">
        <v>124</v>
      </c>
      <c r="B159" s="42">
        <v>43938.0</v>
      </c>
      <c r="C159" s="42">
        <v>44425.0</v>
      </c>
      <c r="D159" s="42">
        <v>44915.0</v>
      </c>
      <c r="E159" s="42">
        <v>45407.0</v>
      </c>
      <c r="F159" s="42">
        <v>45886.0</v>
      </c>
      <c r="G159" s="42">
        <v>46345.0</v>
      </c>
      <c r="H159" s="42">
        <v>46788.0</v>
      </c>
      <c r="I159" s="42">
        <v>47211.0</v>
      </c>
      <c r="J159" s="42">
        <v>47591.0</v>
      </c>
      <c r="K159" s="42">
        <v>47940.0</v>
      </c>
      <c r="L159" s="42">
        <v>48239.0</v>
      </c>
      <c r="M159" s="42">
        <v>48489.0</v>
      </c>
      <c r="N159" s="42">
        <v>48687.0</v>
      </c>
      <c r="O159" s="42">
        <v>48835.0</v>
      </c>
      <c r="P159" s="42">
        <v>48941.0</v>
      </c>
      <c r="Q159" s="42">
        <v>49018.0</v>
      </c>
    </row>
    <row r="160" ht="14.25" customHeight="1">
      <c r="A160" s="41" t="s">
        <v>125</v>
      </c>
      <c r="B160" s="42">
        <v>42721.0</v>
      </c>
      <c r="C160" s="42">
        <v>43212.0</v>
      </c>
      <c r="D160" s="42">
        <v>43733.0</v>
      </c>
      <c r="E160" s="42">
        <v>44284.0</v>
      </c>
      <c r="F160" s="42">
        <v>44834.0</v>
      </c>
      <c r="G160" s="42">
        <v>45372.0</v>
      </c>
      <c r="H160" s="42">
        <v>45913.0</v>
      </c>
      <c r="I160" s="42">
        <v>46453.0</v>
      </c>
      <c r="J160" s="42">
        <v>46964.0</v>
      </c>
      <c r="K160" s="42">
        <v>47461.0</v>
      </c>
      <c r="L160" s="42">
        <v>47912.0</v>
      </c>
      <c r="M160" s="42">
        <v>48324.0</v>
      </c>
      <c r="N160" s="42">
        <v>48666.0</v>
      </c>
      <c r="O160" s="42">
        <v>48955.0</v>
      </c>
      <c r="P160" s="42">
        <v>49202.0</v>
      </c>
      <c r="Q160" s="42">
        <v>49408.0</v>
      </c>
    </row>
    <row r="161" ht="14.25" customHeight="1">
      <c r="A161" s="41" t="s">
        <v>126</v>
      </c>
      <c r="B161" s="48">
        <v>2.19</v>
      </c>
      <c r="C161" s="48">
        <v>2.2</v>
      </c>
      <c r="D161" s="48">
        <v>2.22</v>
      </c>
      <c r="E161" s="48">
        <v>2.23</v>
      </c>
      <c r="F161" s="48">
        <v>2.24</v>
      </c>
      <c r="G161" s="48">
        <v>2.25</v>
      </c>
      <c r="H161" s="48">
        <v>2.27</v>
      </c>
      <c r="I161" s="48">
        <v>2.28</v>
      </c>
      <c r="J161" s="48">
        <v>2.29</v>
      </c>
      <c r="K161" s="48">
        <v>2.31</v>
      </c>
      <c r="L161" s="48">
        <v>2.32</v>
      </c>
      <c r="M161" s="48">
        <v>2.34</v>
      </c>
      <c r="N161" s="48">
        <v>2.35</v>
      </c>
      <c r="O161" s="48">
        <v>2.36</v>
      </c>
      <c r="P161" s="48">
        <v>2.38</v>
      </c>
      <c r="Q161" s="48">
        <v>2.39</v>
      </c>
    </row>
    <row r="162" ht="14.25" customHeight="1">
      <c r="A162" s="40" t="s">
        <v>37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4"/>
    </row>
    <row r="163" ht="14.25" customHeight="1">
      <c r="A163" s="41" t="s">
        <v>121</v>
      </c>
      <c r="B163" s="42">
        <v>275097.0</v>
      </c>
      <c r="C163" s="42">
        <v>273858.0</v>
      </c>
      <c r="D163" s="42">
        <v>272512.0</v>
      </c>
      <c r="E163" s="42">
        <v>271086.0</v>
      </c>
      <c r="F163" s="42">
        <v>269631.0</v>
      </c>
      <c r="G163" s="42">
        <v>268119.0</v>
      </c>
      <c r="H163" s="42">
        <v>266506.0</v>
      </c>
      <c r="I163" s="42">
        <v>264756.0</v>
      </c>
      <c r="J163" s="42">
        <v>262903.0</v>
      </c>
      <c r="K163" s="42">
        <v>260853.0</v>
      </c>
      <c r="L163" s="42">
        <v>258651.0</v>
      </c>
      <c r="M163" s="42">
        <v>256227.0</v>
      </c>
      <c r="N163" s="42">
        <v>253659.0</v>
      </c>
      <c r="O163" s="42">
        <v>250916.0</v>
      </c>
      <c r="P163" s="42">
        <v>248056.0</v>
      </c>
      <c r="Q163" s="42">
        <v>245182.0</v>
      </c>
    </row>
    <row r="164" ht="14.25" customHeight="1">
      <c r="A164" s="41" t="s">
        <v>122</v>
      </c>
      <c r="B164" s="42">
        <v>99829.0</v>
      </c>
      <c r="C164" s="42">
        <v>98471.0</v>
      </c>
      <c r="D164" s="42">
        <v>97022.0</v>
      </c>
      <c r="E164" s="42">
        <v>95540.0</v>
      </c>
      <c r="F164" s="42">
        <v>94050.0</v>
      </c>
      <c r="G164" s="42">
        <v>92535.0</v>
      </c>
      <c r="H164" s="42">
        <v>90963.0</v>
      </c>
      <c r="I164" s="42">
        <v>89329.0</v>
      </c>
      <c r="J164" s="42">
        <v>87685.0</v>
      </c>
      <c r="K164" s="42">
        <v>85969.0</v>
      </c>
      <c r="L164" s="42">
        <v>84218.0</v>
      </c>
      <c r="M164" s="42">
        <v>82392.0</v>
      </c>
      <c r="N164" s="42">
        <v>80587.0</v>
      </c>
      <c r="O164" s="42">
        <v>78755.0</v>
      </c>
      <c r="P164" s="42">
        <v>76907.0</v>
      </c>
      <c r="Q164" s="42">
        <v>75107.0</v>
      </c>
    </row>
    <row r="165" ht="14.25" customHeight="1">
      <c r="A165" s="41" t="s">
        <v>123</v>
      </c>
      <c r="B165" s="42">
        <v>88609.0</v>
      </c>
      <c r="C165" s="42">
        <v>87750.0</v>
      </c>
      <c r="D165" s="42">
        <v>86842.0</v>
      </c>
      <c r="E165" s="42">
        <v>85855.0</v>
      </c>
      <c r="F165" s="42">
        <v>84861.0</v>
      </c>
      <c r="G165" s="42">
        <v>83867.0</v>
      </c>
      <c r="H165" s="42">
        <v>82842.0</v>
      </c>
      <c r="I165" s="42">
        <v>81763.0</v>
      </c>
      <c r="J165" s="42">
        <v>80663.0</v>
      </c>
      <c r="K165" s="42">
        <v>79483.0</v>
      </c>
      <c r="L165" s="42">
        <v>78282.0</v>
      </c>
      <c r="M165" s="42">
        <v>77022.0</v>
      </c>
      <c r="N165" s="42">
        <v>75719.0</v>
      </c>
      <c r="O165" s="42">
        <v>74371.0</v>
      </c>
      <c r="P165" s="42">
        <v>73006.0</v>
      </c>
      <c r="Q165" s="42">
        <v>71649.0</v>
      </c>
    </row>
    <row r="166" ht="14.25" customHeight="1">
      <c r="A166" s="41" t="s">
        <v>124</v>
      </c>
      <c r="B166" s="42">
        <v>43938.0</v>
      </c>
      <c r="C166" s="42">
        <v>44425.0</v>
      </c>
      <c r="D166" s="42">
        <v>44915.0</v>
      </c>
      <c r="E166" s="42">
        <v>45407.0</v>
      </c>
      <c r="F166" s="42">
        <v>45886.0</v>
      </c>
      <c r="G166" s="42">
        <v>46345.0</v>
      </c>
      <c r="H166" s="42">
        <v>46788.0</v>
      </c>
      <c r="I166" s="42">
        <v>47211.0</v>
      </c>
      <c r="J166" s="42">
        <v>47591.0</v>
      </c>
      <c r="K166" s="42">
        <v>47940.0</v>
      </c>
      <c r="L166" s="42">
        <v>48239.0</v>
      </c>
      <c r="M166" s="42">
        <v>48489.0</v>
      </c>
      <c r="N166" s="42">
        <v>48687.0</v>
      </c>
      <c r="O166" s="42">
        <v>48835.0</v>
      </c>
      <c r="P166" s="42">
        <v>48941.0</v>
      </c>
      <c r="Q166" s="42">
        <v>49018.0</v>
      </c>
    </row>
    <row r="167" ht="14.25" customHeight="1">
      <c r="A167" s="41" t="s">
        <v>125</v>
      </c>
      <c r="B167" s="42">
        <v>42721.0</v>
      </c>
      <c r="C167" s="42">
        <v>43212.0</v>
      </c>
      <c r="D167" s="42">
        <v>43733.0</v>
      </c>
      <c r="E167" s="42">
        <v>44284.0</v>
      </c>
      <c r="F167" s="42">
        <v>44834.0</v>
      </c>
      <c r="G167" s="42">
        <v>45372.0</v>
      </c>
      <c r="H167" s="42">
        <v>45913.0</v>
      </c>
      <c r="I167" s="42">
        <v>46453.0</v>
      </c>
      <c r="J167" s="42">
        <v>46964.0</v>
      </c>
      <c r="K167" s="42">
        <v>47461.0</v>
      </c>
      <c r="L167" s="42">
        <v>47912.0</v>
      </c>
      <c r="M167" s="42">
        <v>48324.0</v>
      </c>
      <c r="N167" s="42">
        <v>48666.0</v>
      </c>
      <c r="O167" s="42">
        <v>48955.0</v>
      </c>
      <c r="P167" s="42">
        <v>49202.0</v>
      </c>
      <c r="Q167" s="42">
        <v>49408.0</v>
      </c>
    </row>
    <row r="168" ht="14.25" customHeight="1">
      <c r="A168" s="41" t="s">
        <v>126</v>
      </c>
      <c r="B168" s="48">
        <v>2.19</v>
      </c>
      <c r="C168" s="48">
        <v>2.2</v>
      </c>
      <c r="D168" s="48">
        <v>2.22</v>
      </c>
      <c r="E168" s="48">
        <v>2.23</v>
      </c>
      <c r="F168" s="48">
        <v>2.24</v>
      </c>
      <c r="G168" s="48">
        <v>2.25</v>
      </c>
      <c r="H168" s="48">
        <v>2.27</v>
      </c>
      <c r="I168" s="48">
        <v>2.28</v>
      </c>
      <c r="J168" s="48">
        <v>2.29</v>
      </c>
      <c r="K168" s="48">
        <v>2.31</v>
      </c>
      <c r="L168" s="48">
        <v>2.32</v>
      </c>
      <c r="M168" s="48">
        <v>2.34</v>
      </c>
      <c r="N168" s="48">
        <v>2.35</v>
      </c>
      <c r="O168" s="48">
        <v>2.36</v>
      </c>
      <c r="P168" s="48">
        <v>2.38</v>
      </c>
      <c r="Q168" s="48">
        <v>2.39</v>
      </c>
    </row>
    <row r="169" ht="14.25" customHeight="1">
      <c r="A169" s="40" t="s">
        <v>82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4"/>
    </row>
    <row r="170" ht="14.25" customHeight="1">
      <c r="A170" s="41" t="s">
        <v>121</v>
      </c>
      <c r="B170" s="42">
        <v>998372.0</v>
      </c>
      <c r="C170" s="42">
        <v>990158.0</v>
      </c>
      <c r="D170" s="42">
        <v>981691.0</v>
      </c>
      <c r="E170" s="42">
        <v>972941.0</v>
      </c>
      <c r="F170" s="42">
        <v>964072.0</v>
      </c>
      <c r="G170" s="42">
        <v>955017.0</v>
      </c>
      <c r="H170" s="42">
        <v>945635.0</v>
      </c>
      <c r="I170" s="42">
        <v>935674.0</v>
      </c>
      <c r="J170" s="42">
        <v>925361.0</v>
      </c>
      <c r="K170" s="42">
        <v>914307.0</v>
      </c>
      <c r="L170" s="42">
        <v>902411.0</v>
      </c>
      <c r="M170" s="42">
        <v>889488.0</v>
      </c>
      <c r="N170" s="42">
        <v>876029.0</v>
      </c>
      <c r="O170" s="42">
        <v>862049.0</v>
      </c>
      <c r="P170" s="42">
        <v>847554.0</v>
      </c>
      <c r="Q170" s="42">
        <v>832720.0</v>
      </c>
    </row>
    <row r="171" ht="14.25" customHeight="1">
      <c r="A171" s="41" t="s">
        <v>122</v>
      </c>
      <c r="B171" s="42">
        <v>344056.0</v>
      </c>
      <c r="C171" s="42">
        <v>337836.0</v>
      </c>
      <c r="D171" s="42">
        <v>331479.0</v>
      </c>
      <c r="E171" s="42">
        <v>325064.0</v>
      </c>
      <c r="F171" s="42">
        <v>318659.0</v>
      </c>
      <c r="G171" s="42">
        <v>312239.0</v>
      </c>
      <c r="H171" s="42">
        <v>305687.0</v>
      </c>
      <c r="I171" s="42">
        <v>298829.0</v>
      </c>
      <c r="J171" s="42">
        <v>292040.0</v>
      </c>
      <c r="K171" s="42">
        <v>284981.0</v>
      </c>
      <c r="L171" s="42">
        <v>277617.0</v>
      </c>
      <c r="M171" s="42">
        <v>269796.0</v>
      </c>
      <c r="N171" s="42">
        <v>262156.0</v>
      </c>
      <c r="O171" s="42">
        <v>254619.0</v>
      </c>
      <c r="P171" s="42">
        <v>246940.0</v>
      </c>
      <c r="Q171" s="42">
        <v>239151.0</v>
      </c>
    </row>
    <row r="172" ht="14.25" customHeight="1">
      <c r="A172" s="41" t="s">
        <v>123</v>
      </c>
      <c r="B172" s="42">
        <v>304723.0</v>
      </c>
      <c r="C172" s="42">
        <v>300770.0</v>
      </c>
      <c r="D172" s="42">
        <v>296659.0</v>
      </c>
      <c r="E172" s="42">
        <v>292234.0</v>
      </c>
      <c r="F172" s="42">
        <v>287742.0</v>
      </c>
      <c r="G172" s="42">
        <v>283154.0</v>
      </c>
      <c r="H172" s="42">
        <v>278475.0</v>
      </c>
      <c r="I172" s="42">
        <v>273627.0</v>
      </c>
      <c r="J172" s="42">
        <v>268627.0</v>
      </c>
      <c r="K172" s="42">
        <v>263384.0</v>
      </c>
      <c r="L172" s="42">
        <v>257929.0</v>
      </c>
      <c r="M172" s="42">
        <v>252229.0</v>
      </c>
      <c r="N172" s="42">
        <v>246362.0</v>
      </c>
      <c r="O172" s="42">
        <v>240398.0</v>
      </c>
      <c r="P172" s="42">
        <v>234367.0</v>
      </c>
      <c r="Q172" s="42">
        <v>228166.0</v>
      </c>
    </row>
    <row r="173" ht="14.25" customHeight="1">
      <c r="A173" s="41" t="s">
        <v>124</v>
      </c>
      <c r="B173" s="42">
        <v>168721.0</v>
      </c>
      <c r="C173" s="42">
        <v>169215.0</v>
      </c>
      <c r="D173" s="42">
        <v>169654.0</v>
      </c>
      <c r="E173" s="42">
        <v>170039.0</v>
      </c>
      <c r="F173" s="42">
        <v>170351.0</v>
      </c>
      <c r="G173" s="42">
        <v>170585.0</v>
      </c>
      <c r="H173" s="42">
        <v>170735.0</v>
      </c>
      <c r="I173" s="42">
        <v>170775.0</v>
      </c>
      <c r="J173" s="42">
        <v>170638.0</v>
      </c>
      <c r="K173" s="42">
        <v>170349.0</v>
      </c>
      <c r="L173" s="42">
        <v>169875.0</v>
      </c>
      <c r="M173" s="42">
        <v>169205.0</v>
      </c>
      <c r="N173" s="42">
        <v>168287.0</v>
      </c>
      <c r="O173" s="42">
        <v>167117.0</v>
      </c>
      <c r="P173" s="42">
        <v>165824.0</v>
      </c>
      <c r="Q173" s="42">
        <v>164462.0</v>
      </c>
    </row>
    <row r="174" ht="14.25" customHeight="1">
      <c r="A174" s="41" t="s">
        <v>125</v>
      </c>
      <c r="B174" s="42">
        <v>180872.0</v>
      </c>
      <c r="C174" s="42">
        <v>182337.0</v>
      </c>
      <c r="D174" s="42">
        <v>183899.0</v>
      </c>
      <c r="E174" s="42">
        <v>185604.0</v>
      </c>
      <c r="F174" s="42">
        <v>187320.0</v>
      </c>
      <c r="G174" s="42">
        <v>189039.0</v>
      </c>
      <c r="H174" s="42">
        <v>190738.0</v>
      </c>
      <c r="I174" s="42">
        <v>192443.0</v>
      </c>
      <c r="J174" s="42">
        <v>194056.0</v>
      </c>
      <c r="K174" s="42">
        <v>195593.0</v>
      </c>
      <c r="L174" s="42">
        <v>196990.0</v>
      </c>
      <c r="M174" s="42">
        <v>198258.0</v>
      </c>
      <c r="N174" s="42">
        <v>199224.0</v>
      </c>
      <c r="O174" s="42">
        <v>199915.0</v>
      </c>
      <c r="P174" s="42">
        <v>200423.0</v>
      </c>
      <c r="Q174" s="42">
        <v>200941.0</v>
      </c>
    </row>
    <row r="175" ht="14.25" customHeight="1">
      <c r="A175" s="41" t="s">
        <v>126</v>
      </c>
      <c r="B175" s="48">
        <v>2.31</v>
      </c>
      <c r="C175" s="48">
        <v>2.32</v>
      </c>
      <c r="D175" s="48">
        <v>2.33</v>
      </c>
      <c r="E175" s="48">
        <v>2.34</v>
      </c>
      <c r="F175" s="48">
        <v>2.36</v>
      </c>
      <c r="G175" s="48">
        <v>2.37</v>
      </c>
      <c r="H175" s="48">
        <v>2.38</v>
      </c>
      <c r="I175" s="48">
        <v>2.4</v>
      </c>
      <c r="J175" s="48">
        <v>2.41</v>
      </c>
      <c r="K175" s="48">
        <v>2.42</v>
      </c>
      <c r="L175" s="48">
        <v>2.44</v>
      </c>
      <c r="M175" s="48">
        <v>2.45</v>
      </c>
      <c r="N175" s="48">
        <v>2.47</v>
      </c>
      <c r="O175" s="48">
        <v>2.48</v>
      </c>
      <c r="P175" s="48">
        <v>2.49</v>
      </c>
      <c r="Q175" s="48">
        <v>2.51</v>
      </c>
    </row>
    <row r="176" ht="14.25" customHeight="1">
      <c r="A176" s="40" t="s">
        <v>38</v>
      </c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4"/>
    </row>
    <row r="177" ht="14.25" customHeight="1">
      <c r="A177" s="41" t="s">
        <v>121</v>
      </c>
      <c r="B177" s="42">
        <v>141386.0</v>
      </c>
      <c r="C177" s="42">
        <v>139822.0</v>
      </c>
      <c r="D177" s="42">
        <v>138209.0</v>
      </c>
      <c r="E177" s="42">
        <v>136529.0</v>
      </c>
      <c r="F177" s="42">
        <v>134814.0</v>
      </c>
      <c r="G177" s="42">
        <v>133065.0</v>
      </c>
      <c r="H177" s="42">
        <v>131262.0</v>
      </c>
      <c r="I177" s="42">
        <v>129375.0</v>
      </c>
      <c r="J177" s="42">
        <v>127405.0</v>
      </c>
      <c r="K177" s="42">
        <v>125315.0</v>
      </c>
      <c r="L177" s="42">
        <v>123121.0</v>
      </c>
      <c r="M177" s="42">
        <v>120765.0</v>
      </c>
      <c r="N177" s="42">
        <v>118322.0</v>
      </c>
      <c r="O177" s="42">
        <v>115766.0</v>
      </c>
      <c r="P177" s="42">
        <v>113167.0</v>
      </c>
      <c r="Q177" s="42">
        <v>110533.0</v>
      </c>
    </row>
    <row r="178" ht="14.25" customHeight="1">
      <c r="A178" s="41" t="s">
        <v>122</v>
      </c>
      <c r="B178" s="42">
        <v>48789.0</v>
      </c>
      <c r="C178" s="42">
        <v>47811.0</v>
      </c>
      <c r="D178" s="42">
        <v>46817.0</v>
      </c>
      <c r="E178" s="42">
        <v>45786.0</v>
      </c>
      <c r="F178" s="42">
        <v>44758.0</v>
      </c>
      <c r="G178" s="42">
        <v>43735.0</v>
      </c>
      <c r="H178" s="42">
        <v>42704.0</v>
      </c>
      <c r="I178" s="42">
        <v>41645.0</v>
      </c>
      <c r="J178" s="42">
        <v>40585.0</v>
      </c>
      <c r="K178" s="42">
        <v>39479.0</v>
      </c>
      <c r="L178" s="42">
        <v>38370.0</v>
      </c>
      <c r="M178" s="42">
        <v>37213.0</v>
      </c>
      <c r="N178" s="42">
        <v>36074.0</v>
      </c>
      <c r="O178" s="42">
        <v>34921.0</v>
      </c>
      <c r="P178" s="42">
        <v>33786.0</v>
      </c>
      <c r="Q178" s="42">
        <v>32663.0</v>
      </c>
    </row>
    <row r="179" ht="14.25" customHeight="1">
      <c r="A179" s="41" t="s">
        <v>123</v>
      </c>
      <c r="B179" s="42">
        <v>40560.0</v>
      </c>
      <c r="C179" s="42">
        <v>40032.0</v>
      </c>
      <c r="D179" s="42">
        <v>39467.0</v>
      </c>
      <c r="E179" s="42">
        <v>38869.0</v>
      </c>
      <c r="F179" s="42">
        <v>38247.0</v>
      </c>
      <c r="G179" s="42">
        <v>37607.0</v>
      </c>
      <c r="H179" s="42">
        <v>36951.0</v>
      </c>
      <c r="I179" s="42">
        <v>36266.0</v>
      </c>
      <c r="J179" s="42">
        <v>35549.0</v>
      </c>
      <c r="K179" s="42">
        <v>34802.0</v>
      </c>
      <c r="L179" s="42">
        <v>34028.0</v>
      </c>
      <c r="M179" s="42">
        <v>33195.0</v>
      </c>
      <c r="N179" s="42">
        <v>32345.0</v>
      </c>
      <c r="O179" s="42">
        <v>31467.0</v>
      </c>
      <c r="P179" s="42">
        <v>30586.0</v>
      </c>
      <c r="Q179" s="42">
        <v>29685.0</v>
      </c>
    </row>
    <row r="180" ht="14.25" customHeight="1">
      <c r="A180" s="41" t="s">
        <v>124</v>
      </c>
      <c r="B180" s="42">
        <v>23722.0</v>
      </c>
      <c r="C180" s="42">
        <v>23722.0</v>
      </c>
      <c r="D180" s="42">
        <v>23713.0</v>
      </c>
      <c r="E180" s="42">
        <v>23695.0</v>
      </c>
      <c r="F180" s="42">
        <v>23663.0</v>
      </c>
      <c r="G180" s="42">
        <v>23615.0</v>
      </c>
      <c r="H180" s="42">
        <v>23549.0</v>
      </c>
      <c r="I180" s="42">
        <v>23461.0</v>
      </c>
      <c r="J180" s="42">
        <v>23344.0</v>
      </c>
      <c r="K180" s="42">
        <v>23200.0</v>
      </c>
      <c r="L180" s="42">
        <v>23018.0</v>
      </c>
      <c r="M180" s="42">
        <v>22802.0</v>
      </c>
      <c r="N180" s="42">
        <v>22548.0</v>
      </c>
      <c r="O180" s="42">
        <v>22258.0</v>
      </c>
      <c r="P180" s="42">
        <v>21943.0</v>
      </c>
      <c r="Q180" s="42">
        <v>21610.0</v>
      </c>
    </row>
    <row r="181" ht="14.25" customHeight="1">
      <c r="A181" s="41" t="s">
        <v>125</v>
      </c>
      <c r="B181" s="42">
        <v>28315.0</v>
      </c>
      <c r="C181" s="42">
        <v>28257.0</v>
      </c>
      <c r="D181" s="42">
        <v>28212.0</v>
      </c>
      <c r="E181" s="42">
        <v>28179.0</v>
      </c>
      <c r="F181" s="42">
        <v>28146.0</v>
      </c>
      <c r="G181" s="42">
        <v>28108.0</v>
      </c>
      <c r="H181" s="42">
        <v>28058.0</v>
      </c>
      <c r="I181" s="42">
        <v>28003.0</v>
      </c>
      <c r="J181" s="42">
        <v>27927.0</v>
      </c>
      <c r="K181" s="42">
        <v>27834.0</v>
      </c>
      <c r="L181" s="42">
        <v>27705.0</v>
      </c>
      <c r="M181" s="42">
        <v>27555.0</v>
      </c>
      <c r="N181" s="42">
        <v>27355.0</v>
      </c>
      <c r="O181" s="42">
        <v>27120.0</v>
      </c>
      <c r="P181" s="42">
        <v>26852.0</v>
      </c>
      <c r="Q181" s="42">
        <v>26575.0</v>
      </c>
    </row>
    <row r="182" ht="14.25" customHeight="1">
      <c r="A182" s="41" t="s">
        <v>126</v>
      </c>
      <c r="B182" s="48">
        <v>2.39</v>
      </c>
      <c r="C182" s="48">
        <v>2.39</v>
      </c>
      <c r="D182" s="48">
        <v>2.4</v>
      </c>
      <c r="E182" s="48">
        <v>2.41</v>
      </c>
      <c r="F182" s="48">
        <v>2.42</v>
      </c>
      <c r="G182" s="48">
        <v>2.43</v>
      </c>
      <c r="H182" s="48">
        <v>2.44</v>
      </c>
      <c r="I182" s="48">
        <v>2.45</v>
      </c>
      <c r="J182" s="48">
        <v>2.46</v>
      </c>
      <c r="K182" s="48">
        <v>2.47</v>
      </c>
      <c r="L182" s="48">
        <v>2.48</v>
      </c>
      <c r="M182" s="48">
        <v>2.48</v>
      </c>
      <c r="N182" s="48">
        <v>2.49</v>
      </c>
      <c r="O182" s="48">
        <v>2.5</v>
      </c>
      <c r="P182" s="48">
        <v>2.51</v>
      </c>
      <c r="Q182" s="48">
        <v>2.51</v>
      </c>
    </row>
    <row r="183" ht="14.25" customHeight="1">
      <c r="A183" s="40" t="s">
        <v>39</v>
      </c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4"/>
    </row>
    <row r="184" ht="14.25" customHeight="1">
      <c r="A184" s="41" t="s">
        <v>121</v>
      </c>
      <c r="B184" s="42">
        <v>221013.0</v>
      </c>
      <c r="C184" s="42">
        <v>220061.0</v>
      </c>
      <c r="D184" s="42">
        <v>219039.0</v>
      </c>
      <c r="E184" s="42">
        <v>217983.0</v>
      </c>
      <c r="F184" s="42">
        <v>216907.0</v>
      </c>
      <c r="G184" s="42">
        <v>215810.0</v>
      </c>
      <c r="H184" s="42">
        <v>214605.0</v>
      </c>
      <c r="I184" s="42">
        <v>213273.0</v>
      </c>
      <c r="J184" s="42">
        <v>211920.0</v>
      </c>
      <c r="K184" s="42">
        <v>210412.0</v>
      </c>
      <c r="L184" s="42">
        <v>208725.0</v>
      </c>
      <c r="M184" s="42">
        <v>206828.0</v>
      </c>
      <c r="N184" s="42">
        <v>204863.0</v>
      </c>
      <c r="O184" s="42">
        <v>202850.0</v>
      </c>
      <c r="P184" s="42">
        <v>200690.0</v>
      </c>
      <c r="Q184" s="42">
        <v>198476.0</v>
      </c>
    </row>
    <row r="185" ht="14.25" customHeight="1">
      <c r="A185" s="41" t="s">
        <v>122</v>
      </c>
      <c r="B185" s="42">
        <v>79891.0</v>
      </c>
      <c r="C185" s="42">
        <v>78632.0</v>
      </c>
      <c r="D185" s="42">
        <v>77324.0</v>
      </c>
      <c r="E185" s="42">
        <v>76023.0</v>
      </c>
      <c r="F185" s="42">
        <v>74740.0</v>
      </c>
      <c r="G185" s="42">
        <v>73453.0</v>
      </c>
      <c r="H185" s="42">
        <v>72081.0</v>
      </c>
      <c r="I185" s="42">
        <v>70624.0</v>
      </c>
      <c r="J185" s="42">
        <v>69215.0</v>
      </c>
      <c r="K185" s="42">
        <v>67726.0</v>
      </c>
      <c r="L185" s="42">
        <v>66138.0</v>
      </c>
      <c r="M185" s="42">
        <v>64415.0</v>
      </c>
      <c r="N185" s="42">
        <v>62755.0</v>
      </c>
      <c r="O185" s="42">
        <v>61166.0</v>
      </c>
      <c r="P185" s="42">
        <v>59460.0</v>
      </c>
      <c r="Q185" s="42">
        <v>57735.0</v>
      </c>
    </row>
    <row r="186" ht="14.25" customHeight="1">
      <c r="A186" s="41" t="s">
        <v>123</v>
      </c>
      <c r="B186" s="42">
        <v>69153.0</v>
      </c>
      <c r="C186" s="42">
        <v>68547.0</v>
      </c>
      <c r="D186" s="42">
        <v>67894.0</v>
      </c>
      <c r="E186" s="42">
        <v>67164.0</v>
      </c>
      <c r="F186" s="42">
        <v>66392.0</v>
      </c>
      <c r="G186" s="42">
        <v>65603.0</v>
      </c>
      <c r="H186" s="42">
        <v>64775.0</v>
      </c>
      <c r="I186" s="42">
        <v>63895.0</v>
      </c>
      <c r="J186" s="42">
        <v>62991.0</v>
      </c>
      <c r="K186" s="42">
        <v>62022.0</v>
      </c>
      <c r="L186" s="42">
        <v>61000.0</v>
      </c>
      <c r="M186" s="42">
        <v>59934.0</v>
      </c>
      <c r="N186" s="42">
        <v>58809.0</v>
      </c>
      <c r="O186" s="42">
        <v>57657.0</v>
      </c>
      <c r="P186" s="42">
        <v>56489.0</v>
      </c>
      <c r="Q186" s="42">
        <v>55269.0</v>
      </c>
    </row>
    <row r="187" ht="14.25" customHeight="1">
      <c r="A187" s="41" t="s">
        <v>124</v>
      </c>
      <c r="B187" s="42">
        <v>36846.0</v>
      </c>
      <c r="C187" s="42">
        <v>37098.0</v>
      </c>
      <c r="D187" s="42">
        <v>37342.0</v>
      </c>
      <c r="E187" s="42">
        <v>37581.0</v>
      </c>
      <c r="F187" s="42">
        <v>37807.0</v>
      </c>
      <c r="G187" s="42">
        <v>38029.0</v>
      </c>
      <c r="H187" s="42">
        <v>38241.0</v>
      </c>
      <c r="I187" s="42">
        <v>38440.0</v>
      </c>
      <c r="J187" s="42">
        <v>38606.0</v>
      </c>
      <c r="K187" s="42">
        <v>38751.0</v>
      </c>
      <c r="L187" s="42">
        <v>38872.0</v>
      </c>
      <c r="M187" s="42">
        <v>38963.0</v>
      </c>
      <c r="N187" s="42">
        <v>39018.0</v>
      </c>
      <c r="O187" s="42">
        <v>39020.0</v>
      </c>
      <c r="P187" s="42">
        <v>39016.0</v>
      </c>
      <c r="Q187" s="42">
        <v>39008.0</v>
      </c>
    </row>
    <row r="188" ht="14.25" customHeight="1">
      <c r="A188" s="41" t="s">
        <v>125</v>
      </c>
      <c r="B188" s="42">
        <v>35123.0</v>
      </c>
      <c r="C188" s="42">
        <v>35784.0</v>
      </c>
      <c r="D188" s="42">
        <v>36479.0</v>
      </c>
      <c r="E188" s="42">
        <v>37215.0</v>
      </c>
      <c r="F188" s="42">
        <v>37968.0</v>
      </c>
      <c r="G188" s="42">
        <v>38725.0</v>
      </c>
      <c r="H188" s="42">
        <v>39508.0</v>
      </c>
      <c r="I188" s="42">
        <v>40314.0</v>
      </c>
      <c r="J188" s="42">
        <v>41108.0</v>
      </c>
      <c r="K188" s="42">
        <v>41913.0</v>
      </c>
      <c r="L188" s="42">
        <v>42715.0</v>
      </c>
      <c r="M188" s="42">
        <v>43516.0</v>
      </c>
      <c r="N188" s="42">
        <v>44281.0</v>
      </c>
      <c r="O188" s="42">
        <v>45007.0</v>
      </c>
      <c r="P188" s="42">
        <v>45725.0</v>
      </c>
      <c r="Q188" s="42">
        <v>46464.0</v>
      </c>
    </row>
    <row r="189" ht="14.25" customHeight="1">
      <c r="A189" s="41" t="s">
        <v>126</v>
      </c>
      <c r="B189" s="48">
        <v>2.21</v>
      </c>
      <c r="C189" s="48">
        <v>2.22</v>
      </c>
      <c r="D189" s="48">
        <v>2.23</v>
      </c>
      <c r="E189" s="48">
        <v>2.25</v>
      </c>
      <c r="F189" s="48">
        <v>2.27</v>
      </c>
      <c r="G189" s="48">
        <v>2.28</v>
      </c>
      <c r="H189" s="48">
        <v>2.3</v>
      </c>
      <c r="I189" s="48">
        <v>2.32</v>
      </c>
      <c r="J189" s="48">
        <v>2.33</v>
      </c>
      <c r="K189" s="48">
        <v>2.35</v>
      </c>
      <c r="L189" s="48">
        <v>2.37</v>
      </c>
      <c r="M189" s="48">
        <v>2.39</v>
      </c>
      <c r="N189" s="48">
        <v>2.41</v>
      </c>
      <c r="O189" s="48">
        <v>2.43</v>
      </c>
      <c r="P189" s="48">
        <v>2.45</v>
      </c>
      <c r="Q189" s="48">
        <v>2.47</v>
      </c>
    </row>
    <row r="190" ht="14.25" customHeight="1">
      <c r="A190" s="40" t="s">
        <v>40</v>
      </c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4"/>
    </row>
    <row r="191" ht="14.25" customHeight="1">
      <c r="A191" s="41" t="s">
        <v>121</v>
      </c>
      <c r="B191" s="42">
        <v>178512.0</v>
      </c>
      <c r="C191" s="42">
        <v>177479.0</v>
      </c>
      <c r="D191" s="42">
        <v>176406.0</v>
      </c>
      <c r="E191" s="42">
        <v>175300.0</v>
      </c>
      <c r="F191" s="42">
        <v>174137.0</v>
      </c>
      <c r="G191" s="42">
        <v>172948.0</v>
      </c>
      <c r="H191" s="42">
        <v>171713.0</v>
      </c>
      <c r="I191" s="42">
        <v>170394.0</v>
      </c>
      <c r="J191" s="42">
        <v>169004.0</v>
      </c>
      <c r="K191" s="42">
        <v>167477.0</v>
      </c>
      <c r="L191" s="42">
        <v>165809.0</v>
      </c>
      <c r="M191" s="42">
        <v>163982.0</v>
      </c>
      <c r="N191" s="42">
        <v>162069.0</v>
      </c>
      <c r="O191" s="42">
        <v>160050.0</v>
      </c>
      <c r="P191" s="42">
        <v>157957.0</v>
      </c>
      <c r="Q191" s="42">
        <v>155765.0</v>
      </c>
    </row>
    <row r="192" ht="14.25" customHeight="1">
      <c r="A192" s="41" t="s">
        <v>122</v>
      </c>
      <c r="B192" s="42">
        <v>64077.0</v>
      </c>
      <c r="C192" s="42">
        <v>63024.0</v>
      </c>
      <c r="D192" s="42">
        <v>61943.0</v>
      </c>
      <c r="E192" s="42">
        <v>60867.0</v>
      </c>
      <c r="F192" s="42">
        <v>59746.0</v>
      </c>
      <c r="G192" s="42">
        <v>58619.0</v>
      </c>
      <c r="H192" s="42">
        <v>57467.0</v>
      </c>
      <c r="I192" s="42">
        <v>56273.0</v>
      </c>
      <c r="J192" s="42">
        <v>55068.0</v>
      </c>
      <c r="K192" s="42">
        <v>53790.0</v>
      </c>
      <c r="L192" s="42">
        <v>52458.0</v>
      </c>
      <c r="M192" s="42">
        <v>51037.0</v>
      </c>
      <c r="N192" s="42">
        <v>49649.0</v>
      </c>
      <c r="O192" s="42">
        <v>48247.0</v>
      </c>
      <c r="P192" s="42">
        <v>46826.0</v>
      </c>
      <c r="Q192" s="42">
        <v>45345.0</v>
      </c>
    </row>
    <row r="193" ht="14.25" customHeight="1">
      <c r="A193" s="41" t="s">
        <v>123</v>
      </c>
      <c r="B193" s="42">
        <v>55696.0</v>
      </c>
      <c r="C193" s="42">
        <v>55030.0</v>
      </c>
      <c r="D193" s="42">
        <v>54339.0</v>
      </c>
      <c r="E193" s="42">
        <v>53592.0</v>
      </c>
      <c r="F193" s="42">
        <v>52826.0</v>
      </c>
      <c r="G193" s="42">
        <v>52044.0</v>
      </c>
      <c r="H193" s="42">
        <v>51257.0</v>
      </c>
      <c r="I193" s="42">
        <v>50438.0</v>
      </c>
      <c r="J193" s="42">
        <v>49586.0</v>
      </c>
      <c r="K193" s="42">
        <v>48691.0</v>
      </c>
      <c r="L193" s="42">
        <v>47743.0</v>
      </c>
      <c r="M193" s="42">
        <v>46771.0</v>
      </c>
      <c r="N193" s="42">
        <v>45766.0</v>
      </c>
      <c r="O193" s="42">
        <v>44737.0</v>
      </c>
      <c r="P193" s="42">
        <v>43698.0</v>
      </c>
      <c r="Q193" s="42">
        <v>42617.0</v>
      </c>
    </row>
    <row r="194" ht="14.25" customHeight="1">
      <c r="A194" s="41" t="s">
        <v>124</v>
      </c>
      <c r="B194" s="42">
        <v>30091.0</v>
      </c>
      <c r="C194" s="42">
        <v>30270.0</v>
      </c>
      <c r="D194" s="42">
        <v>30442.0</v>
      </c>
      <c r="E194" s="42">
        <v>30606.0</v>
      </c>
      <c r="F194" s="42">
        <v>30761.0</v>
      </c>
      <c r="G194" s="42">
        <v>30904.0</v>
      </c>
      <c r="H194" s="42">
        <v>31031.0</v>
      </c>
      <c r="I194" s="42">
        <v>31145.0</v>
      </c>
      <c r="J194" s="42">
        <v>31230.0</v>
      </c>
      <c r="K194" s="42">
        <v>31297.0</v>
      </c>
      <c r="L194" s="42">
        <v>31335.0</v>
      </c>
      <c r="M194" s="42">
        <v>31346.0</v>
      </c>
      <c r="N194" s="42">
        <v>31310.0</v>
      </c>
      <c r="O194" s="42">
        <v>31236.0</v>
      </c>
      <c r="P194" s="42">
        <v>31146.0</v>
      </c>
      <c r="Q194" s="42">
        <v>31044.0</v>
      </c>
    </row>
    <row r="195" ht="14.25" customHeight="1">
      <c r="A195" s="41" t="s">
        <v>125</v>
      </c>
      <c r="B195" s="42">
        <v>28648.0</v>
      </c>
      <c r="C195" s="42">
        <v>29155.0</v>
      </c>
      <c r="D195" s="42">
        <v>29682.0</v>
      </c>
      <c r="E195" s="42">
        <v>30235.0</v>
      </c>
      <c r="F195" s="42">
        <v>30804.0</v>
      </c>
      <c r="G195" s="42">
        <v>31381.0</v>
      </c>
      <c r="H195" s="42">
        <v>31958.0</v>
      </c>
      <c r="I195" s="42">
        <v>32538.0</v>
      </c>
      <c r="J195" s="42">
        <v>33120.0</v>
      </c>
      <c r="K195" s="42">
        <v>33699.0</v>
      </c>
      <c r="L195" s="42">
        <v>34273.0</v>
      </c>
      <c r="M195" s="42">
        <v>34828.0</v>
      </c>
      <c r="N195" s="42">
        <v>35344.0</v>
      </c>
      <c r="O195" s="42">
        <v>35830.0</v>
      </c>
      <c r="P195" s="42">
        <v>36287.0</v>
      </c>
      <c r="Q195" s="42">
        <v>36759.0</v>
      </c>
    </row>
    <row r="196" ht="14.25" customHeight="1">
      <c r="A196" s="41" t="s">
        <v>126</v>
      </c>
      <c r="B196" s="48">
        <v>2.22</v>
      </c>
      <c r="C196" s="48">
        <v>2.23</v>
      </c>
      <c r="D196" s="48">
        <v>2.25</v>
      </c>
      <c r="E196" s="48">
        <v>2.26</v>
      </c>
      <c r="F196" s="48">
        <v>2.28</v>
      </c>
      <c r="G196" s="48">
        <v>2.29</v>
      </c>
      <c r="H196" s="48">
        <v>2.31</v>
      </c>
      <c r="I196" s="48">
        <v>2.33</v>
      </c>
      <c r="J196" s="48">
        <v>2.35</v>
      </c>
      <c r="K196" s="48">
        <v>2.36</v>
      </c>
      <c r="L196" s="48">
        <v>2.38</v>
      </c>
      <c r="M196" s="48">
        <v>2.4</v>
      </c>
      <c r="N196" s="48">
        <v>2.42</v>
      </c>
      <c r="O196" s="48">
        <v>2.44</v>
      </c>
      <c r="P196" s="48">
        <v>2.46</v>
      </c>
      <c r="Q196" s="48">
        <v>2.48</v>
      </c>
    </row>
    <row r="197" ht="14.25" customHeight="1">
      <c r="A197" s="40" t="s">
        <v>41</v>
      </c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4"/>
    </row>
    <row r="198" ht="14.25" customHeight="1">
      <c r="A198" s="41" t="s">
        <v>121</v>
      </c>
      <c r="B198" s="42">
        <v>360934.0</v>
      </c>
      <c r="C198" s="42">
        <v>356858.0</v>
      </c>
      <c r="D198" s="42">
        <v>352704.0</v>
      </c>
      <c r="E198" s="42">
        <v>348427.0</v>
      </c>
      <c r="F198" s="42">
        <v>344137.0</v>
      </c>
      <c r="G198" s="42">
        <v>339768.0</v>
      </c>
      <c r="H198" s="42">
        <v>335316.0</v>
      </c>
      <c r="I198" s="42">
        <v>330635.0</v>
      </c>
      <c r="J198" s="42">
        <v>325822.0</v>
      </c>
      <c r="K198" s="42">
        <v>320763.0</v>
      </c>
      <c r="L198" s="42">
        <v>315375.0</v>
      </c>
      <c r="M198" s="42">
        <v>309611.0</v>
      </c>
      <c r="N198" s="42">
        <v>303627.0</v>
      </c>
      <c r="O198" s="42">
        <v>297459.0</v>
      </c>
      <c r="P198" s="42">
        <v>291082.0</v>
      </c>
      <c r="Q198" s="42">
        <v>284627.0</v>
      </c>
    </row>
    <row r="199" ht="14.25" customHeight="1">
      <c r="A199" s="41" t="s">
        <v>122</v>
      </c>
      <c r="B199" s="42">
        <v>115691.0</v>
      </c>
      <c r="C199" s="42">
        <v>113269.0</v>
      </c>
      <c r="D199" s="42">
        <v>110811.0</v>
      </c>
      <c r="E199" s="42">
        <v>108317.0</v>
      </c>
      <c r="F199" s="42">
        <v>105842.0</v>
      </c>
      <c r="G199" s="42">
        <v>103365.0</v>
      </c>
      <c r="H199" s="42">
        <v>100887.0</v>
      </c>
      <c r="I199" s="42">
        <v>98295.0</v>
      </c>
      <c r="J199" s="42">
        <v>95729.0</v>
      </c>
      <c r="K199" s="42">
        <v>93127.0</v>
      </c>
      <c r="L199" s="42">
        <v>90396.0</v>
      </c>
      <c r="M199" s="42">
        <v>87531.0</v>
      </c>
      <c r="N199" s="42">
        <v>84726.0</v>
      </c>
      <c r="O199" s="42">
        <v>81983.0</v>
      </c>
      <c r="P199" s="42">
        <v>79216.0</v>
      </c>
      <c r="Q199" s="42">
        <v>76435.0</v>
      </c>
    </row>
    <row r="200" ht="14.25" customHeight="1">
      <c r="A200" s="41" t="s">
        <v>123</v>
      </c>
      <c r="B200" s="42">
        <v>110288.0</v>
      </c>
      <c r="C200" s="42">
        <v>108397.0</v>
      </c>
      <c r="D200" s="42">
        <v>106467.0</v>
      </c>
      <c r="E200" s="42">
        <v>104425.0</v>
      </c>
      <c r="F200" s="42">
        <v>102400.0</v>
      </c>
      <c r="G200" s="42">
        <v>100345.0</v>
      </c>
      <c r="H200" s="42">
        <v>98268.0</v>
      </c>
      <c r="I200" s="42">
        <v>96140.0</v>
      </c>
      <c r="J200" s="42">
        <v>93975.0</v>
      </c>
      <c r="K200" s="42">
        <v>91725.0</v>
      </c>
      <c r="L200" s="42">
        <v>89429.0</v>
      </c>
      <c r="M200" s="42">
        <v>87046.0</v>
      </c>
      <c r="N200" s="42">
        <v>84625.0</v>
      </c>
      <c r="O200" s="42">
        <v>82197.0</v>
      </c>
      <c r="P200" s="42">
        <v>79725.0</v>
      </c>
      <c r="Q200" s="42">
        <v>77228.0</v>
      </c>
    </row>
    <row r="201" ht="14.25" customHeight="1">
      <c r="A201" s="41" t="s">
        <v>124</v>
      </c>
      <c r="B201" s="42">
        <v>61921.0</v>
      </c>
      <c r="C201" s="42">
        <v>61938.0</v>
      </c>
      <c r="D201" s="42">
        <v>61928.0</v>
      </c>
      <c r="E201" s="42">
        <v>61893.0</v>
      </c>
      <c r="F201" s="42">
        <v>61826.0</v>
      </c>
      <c r="G201" s="42">
        <v>61720.0</v>
      </c>
      <c r="H201" s="42">
        <v>61579.0</v>
      </c>
      <c r="I201" s="42">
        <v>61385.0</v>
      </c>
      <c r="J201" s="42">
        <v>61122.0</v>
      </c>
      <c r="K201" s="42">
        <v>60788.0</v>
      </c>
      <c r="L201" s="42">
        <v>60379.0</v>
      </c>
      <c r="M201" s="42">
        <v>59885.0</v>
      </c>
      <c r="N201" s="42">
        <v>59292.0</v>
      </c>
      <c r="O201" s="42">
        <v>58601.0</v>
      </c>
      <c r="P201" s="42">
        <v>57851.0</v>
      </c>
      <c r="Q201" s="42">
        <v>57075.0</v>
      </c>
    </row>
    <row r="202" ht="14.25" customHeight="1">
      <c r="A202" s="41" t="s">
        <v>125</v>
      </c>
      <c r="B202" s="42">
        <v>73034.0</v>
      </c>
      <c r="C202" s="42">
        <v>73254.0</v>
      </c>
      <c r="D202" s="42">
        <v>73498.0</v>
      </c>
      <c r="E202" s="42">
        <v>73792.0</v>
      </c>
      <c r="F202" s="42">
        <v>74069.0</v>
      </c>
      <c r="G202" s="42">
        <v>74338.0</v>
      </c>
      <c r="H202" s="42">
        <v>74582.0</v>
      </c>
      <c r="I202" s="42">
        <v>74815.0</v>
      </c>
      <c r="J202" s="42">
        <v>74996.0</v>
      </c>
      <c r="K202" s="42">
        <v>75123.0</v>
      </c>
      <c r="L202" s="42">
        <v>75171.0</v>
      </c>
      <c r="M202" s="42">
        <v>75149.0</v>
      </c>
      <c r="N202" s="42">
        <v>74984.0</v>
      </c>
      <c r="O202" s="42">
        <v>74678.0</v>
      </c>
      <c r="P202" s="42">
        <v>74290.0</v>
      </c>
      <c r="Q202" s="42">
        <v>73889.0</v>
      </c>
    </row>
    <row r="203" ht="14.25" customHeight="1">
      <c r="A203" s="41" t="s">
        <v>126</v>
      </c>
      <c r="B203" s="48">
        <v>2.41</v>
      </c>
      <c r="C203" s="48">
        <v>2.42</v>
      </c>
      <c r="D203" s="48">
        <v>2.43</v>
      </c>
      <c r="E203" s="48">
        <v>2.44</v>
      </c>
      <c r="F203" s="48">
        <v>2.45</v>
      </c>
      <c r="G203" s="48">
        <v>2.47</v>
      </c>
      <c r="H203" s="48">
        <v>2.48</v>
      </c>
      <c r="I203" s="48">
        <v>2.49</v>
      </c>
      <c r="J203" s="48">
        <v>2.5</v>
      </c>
      <c r="K203" s="48">
        <v>2.52</v>
      </c>
      <c r="L203" s="48">
        <v>2.53</v>
      </c>
      <c r="M203" s="48">
        <v>2.54</v>
      </c>
      <c r="N203" s="48">
        <v>2.56</v>
      </c>
      <c r="O203" s="48">
        <v>2.57</v>
      </c>
      <c r="P203" s="48">
        <v>2.58</v>
      </c>
      <c r="Q203" s="48">
        <v>2.59</v>
      </c>
    </row>
    <row r="204" ht="14.25" customHeight="1">
      <c r="A204" s="40" t="s">
        <v>42</v>
      </c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4"/>
    </row>
    <row r="205" ht="14.25" customHeight="1">
      <c r="A205" s="41" t="s">
        <v>121</v>
      </c>
      <c r="B205" s="42">
        <v>96527.0</v>
      </c>
      <c r="C205" s="42">
        <v>95938.0</v>
      </c>
      <c r="D205" s="42">
        <v>95333.0</v>
      </c>
      <c r="E205" s="42">
        <v>94702.0</v>
      </c>
      <c r="F205" s="42">
        <v>94077.0</v>
      </c>
      <c r="G205" s="42">
        <v>93426.0</v>
      </c>
      <c r="H205" s="42">
        <v>92739.0</v>
      </c>
      <c r="I205" s="42">
        <v>91997.0</v>
      </c>
      <c r="J205" s="42">
        <v>91210.0</v>
      </c>
      <c r="K205" s="42">
        <v>90340.0</v>
      </c>
      <c r="L205" s="42">
        <v>89381.0</v>
      </c>
      <c r="M205" s="42">
        <v>88302.0</v>
      </c>
      <c r="N205" s="42">
        <v>87148.0</v>
      </c>
      <c r="O205" s="42">
        <v>85924.0</v>
      </c>
      <c r="P205" s="42">
        <v>84658.0</v>
      </c>
      <c r="Q205" s="42">
        <v>83319.0</v>
      </c>
    </row>
    <row r="206" ht="14.25" customHeight="1">
      <c r="A206" s="41" t="s">
        <v>122</v>
      </c>
      <c r="B206" s="42">
        <v>35608.0</v>
      </c>
      <c r="C206" s="42">
        <v>35100.0</v>
      </c>
      <c r="D206" s="42">
        <v>34584.0</v>
      </c>
      <c r="E206" s="42">
        <v>34071.0</v>
      </c>
      <c r="F206" s="42">
        <v>33573.0</v>
      </c>
      <c r="G206" s="42">
        <v>33067.0</v>
      </c>
      <c r="H206" s="42">
        <v>32548.0</v>
      </c>
      <c r="I206" s="42">
        <v>31992.0</v>
      </c>
      <c r="J206" s="42">
        <v>31443.0</v>
      </c>
      <c r="K206" s="42">
        <v>30859.0</v>
      </c>
      <c r="L206" s="42">
        <v>30255.0</v>
      </c>
      <c r="M206" s="42">
        <v>29600.0</v>
      </c>
      <c r="N206" s="42">
        <v>28952.0</v>
      </c>
      <c r="O206" s="42">
        <v>28302.0</v>
      </c>
      <c r="P206" s="42">
        <v>27652.0</v>
      </c>
      <c r="Q206" s="42">
        <v>26973.0</v>
      </c>
    </row>
    <row r="207" ht="14.25" customHeight="1">
      <c r="A207" s="41" t="s">
        <v>123</v>
      </c>
      <c r="B207" s="42">
        <v>29026.0</v>
      </c>
      <c r="C207" s="42">
        <v>28764.0</v>
      </c>
      <c r="D207" s="42">
        <v>28492.0</v>
      </c>
      <c r="E207" s="42">
        <v>28184.0</v>
      </c>
      <c r="F207" s="42">
        <v>27877.0</v>
      </c>
      <c r="G207" s="42">
        <v>27555.0</v>
      </c>
      <c r="H207" s="42">
        <v>27224.0</v>
      </c>
      <c r="I207" s="42">
        <v>26888.0</v>
      </c>
      <c r="J207" s="42">
        <v>26526.0</v>
      </c>
      <c r="K207" s="42">
        <v>26144.0</v>
      </c>
      <c r="L207" s="42">
        <v>25729.0</v>
      </c>
      <c r="M207" s="42">
        <v>25283.0</v>
      </c>
      <c r="N207" s="42">
        <v>24817.0</v>
      </c>
      <c r="O207" s="42">
        <v>24340.0</v>
      </c>
      <c r="P207" s="42">
        <v>23869.0</v>
      </c>
      <c r="Q207" s="42">
        <v>23367.0</v>
      </c>
    </row>
    <row r="208" ht="14.25" customHeight="1">
      <c r="A208" s="41" t="s">
        <v>124</v>
      </c>
      <c r="B208" s="42">
        <v>16141.0</v>
      </c>
      <c r="C208" s="42">
        <v>16187.0</v>
      </c>
      <c r="D208" s="42">
        <v>16229.0</v>
      </c>
      <c r="E208" s="42">
        <v>16264.0</v>
      </c>
      <c r="F208" s="42">
        <v>16294.0</v>
      </c>
      <c r="G208" s="42">
        <v>16317.0</v>
      </c>
      <c r="H208" s="42">
        <v>16335.0</v>
      </c>
      <c r="I208" s="42">
        <v>16344.0</v>
      </c>
      <c r="J208" s="42">
        <v>16336.0</v>
      </c>
      <c r="K208" s="42">
        <v>16313.0</v>
      </c>
      <c r="L208" s="42">
        <v>16271.0</v>
      </c>
      <c r="M208" s="42">
        <v>16209.0</v>
      </c>
      <c r="N208" s="42">
        <v>16119.0</v>
      </c>
      <c r="O208" s="42">
        <v>16002.0</v>
      </c>
      <c r="P208" s="42">
        <v>15868.0</v>
      </c>
      <c r="Q208" s="42">
        <v>15725.0</v>
      </c>
    </row>
    <row r="209" ht="14.25" customHeight="1">
      <c r="A209" s="41" t="s">
        <v>125</v>
      </c>
      <c r="B209" s="42">
        <v>15752.0</v>
      </c>
      <c r="C209" s="42">
        <v>15887.0</v>
      </c>
      <c r="D209" s="42">
        <v>16028.0</v>
      </c>
      <c r="E209" s="42">
        <v>16183.0</v>
      </c>
      <c r="F209" s="42">
        <v>16333.0</v>
      </c>
      <c r="G209" s="42">
        <v>16487.0</v>
      </c>
      <c r="H209" s="42">
        <v>16632.0</v>
      </c>
      <c r="I209" s="42">
        <v>16773.0</v>
      </c>
      <c r="J209" s="42">
        <v>16905.0</v>
      </c>
      <c r="K209" s="42">
        <v>17024.0</v>
      </c>
      <c r="L209" s="42">
        <v>17126.0</v>
      </c>
      <c r="M209" s="42">
        <v>17210.0</v>
      </c>
      <c r="N209" s="42">
        <v>17260.0</v>
      </c>
      <c r="O209" s="42">
        <v>17280.0</v>
      </c>
      <c r="P209" s="42">
        <v>17269.0</v>
      </c>
      <c r="Q209" s="42">
        <v>17254.0</v>
      </c>
    </row>
    <row r="210" ht="14.25" customHeight="1">
      <c r="A210" s="41" t="s">
        <v>126</v>
      </c>
      <c r="B210" s="48">
        <v>2.21</v>
      </c>
      <c r="C210" s="48">
        <v>2.22</v>
      </c>
      <c r="D210" s="48">
        <v>2.23</v>
      </c>
      <c r="E210" s="48">
        <v>2.24</v>
      </c>
      <c r="F210" s="48">
        <v>2.25</v>
      </c>
      <c r="G210" s="48">
        <v>2.26</v>
      </c>
      <c r="H210" s="48">
        <v>2.27</v>
      </c>
      <c r="I210" s="48">
        <v>2.28</v>
      </c>
      <c r="J210" s="48">
        <v>2.29</v>
      </c>
      <c r="K210" s="48">
        <v>2.3</v>
      </c>
      <c r="L210" s="48">
        <v>2.32</v>
      </c>
      <c r="M210" s="48">
        <v>2.33</v>
      </c>
      <c r="N210" s="48">
        <v>2.34</v>
      </c>
      <c r="O210" s="48">
        <v>2.35</v>
      </c>
      <c r="P210" s="48">
        <v>2.36</v>
      </c>
      <c r="Q210" s="48">
        <v>2.37</v>
      </c>
    </row>
    <row r="211" ht="14.25" customHeight="1">
      <c r="A211" s="40" t="s">
        <v>83</v>
      </c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4"/>
    </row>
    <row r="212" ht="14.25" customHeight="1">
      <c r="A212" s="41" t="s">
        <v>121</v>
      </c>
      <c r="B212" s="42">
        <v>1151673.0</v>
      </c>
      <c r="C212" s="42">
        <v>1147968.0</v>
      </c>
      <c r="D212" s="42">
        <v>1143987.0</v>
      </c>
      <c r="E212" s="42">
        <v>1139602.0</v>
      </c>
      <c r="F212" s="42">
        <v>1135083.0</v>
      </c>
      <c r="G212" s="42">
        <v>1130340.0</v>
      </c>
      <c r="H212" s="42">
        <v>1125331.0</v>
      </c>
      <c r="I212" s="42">
        <v>1119784.0</v>
      </c>
      <c r="J212" s="42">
        <v>1113802.0</v>
      </c>
      <c r="K212" s="42">
        <v>1107133.0</v>
      </c>
      <c r="L212" s="42">
        <v>1099649.0</v>
      </c>
      <c r="M212" s="42">
        <v>1091269.0</v>
      </c>
      <c r="N212" s="42">
        <v>1082408.0</v>
      </c>
      <c r="O212" s="42">
        <v>1072940.0</v>
      </c>
      <c r="P212" s="42">
        <v>1062795.0</v>
      </c>
      <c r="Q212" s="42">
        <v>1052258.0</v>
      </c>
    </row>
    <row r="213" ht="14.25" customHeight="1">
      <c r="A213" s="41" t="s">
        <v>122</v>
      </c>
      <c r="B213" s="42">
        <v>482066.0</v>
      </c>
      <c r="C213" s="42">
        <v>476067.0</v>
      </c>
      <c r="D213" s="42">
        <v>469795.0</v>
      </c>
      <c r="E213" s="42">
        <v>463230.0</v>
      </c>
      <c r="F213" s="42">
        <v>456600.0</v>
      </c>
      <c r="G213" s="42">
        <v>449868.0</v>
      </c>
      <c r="H213" s="42">
        <v>442980.0</v>
      </c>
      <c r="I213" s="42">
        <v>435756.0</v>
      </c>
      <c r="J213" s="42">
        <v>428419.0</v>
      </c>
      <c r="K213" s="42">
        <v>420712.0</v>
      </c>
      <c r="L213" s="42">
        <v>412601.0</v>
      </c>
      <c r="M213" s="42">
        <v>404041.0</v>
      </c>
      <c r="N213" s="42">
        <v>395597.0</v>
      </c>
      <c r="O213" s="42">
        <v>387021.0</v>
      </c>
      <c r="P213" s="42">
        <v>378015.0</v>
      </c>
      <c r="Q213" s="42">
        <v>368922.0</v>
      </c>
    </row>
    <row r="214" ht="14.25" customHeight="1">
      <c r="A214" s="41" t="s">
        <v>123</v>
      </c>
      <c r="B214" s="42">
        <v>360475.0</v>
      </c>
      <c r="C214" s="42">
        <v>358169.0</v>
      </c>
      <c r="D214" s="42">
        <v>355721.0</v>
      </c>
      <c r="E214" s="42">
        <v>352928.0</v>
      </c>
      <c r="F214" s="42">
        <v>350059.0</v>
      </c>
      <c r="G214" s="42">
        <v>347025.0</v>
      </c>
      <c r="H214" s="42">
        <v>343926.0</v>
      </c>
      <c r="I214" s="42">
        <v>340618.0</v>
      </c>
      <c r="J214" s="42">
        <v>337078.0</v>
      </c>
      <c r="K214" s="42">
        <v>333373.0</v>
      </c>
      <c r="L214" s="42">
        <v>329410.0</v>
      </c>
      <c r="M214" s="42">
        <v>325228.0</v>
      </c>
      <c r="N214" s="42">
        <v>320828.0</v>
      </c>
      <c r="O214" s="42">
        <v>316299.0</v>
      </c>
      <c r="P214" s="42">
        <v>311609.0</v>
      </c>
      <c r="Q214" s="42">
        <v>306701.0</v>
      </c>
    </row>
    <row r="215" ht="14.25" customHeight="1">
      <c r="A215" s="41" t="s">
        <v>124</v>
      </c>
      <c r="B215" s="42">
        <v>166183.0</v>
      </c>
      <c r="C215" s="42">
        <v>168406.0</v>
      </c>
      <c r="D215" s="42">
        <v>170661.0</v>
      </c>
      <c r="E215" s="42">
        <v>172961.0</v>
      </c>
      <c r="F215" s="42">
        <v>175224.0</v>
      </c>
      <c r="G215" s="42">
        <v>177470.0</v>
      </c>
      <c r="H215" s="42">
        <v>179686.0</v>
      </c>
      <c r="I215" s="42">
        <v>181854.0</v>
      </c>
      <c r="J215" s="42">
        <v>183935.0</v>
      </c>
      <c r="K215" s="42">
        <v>185914.0</v>
      </c>
      <c r="L215" s="42">
        <v>187794.0</v>
      </c>
      <c r="M215" s="42">
        <v>189534.0</v>
      </c>
      <c r="N215" s="42">
        <v>191083.0</v>
      </c>
      <c r="O215" s="42">
        <v>192462.0</v>
      </c>
      <c r="P215" s="42">
        <v>193790.0</v>
      </c>
      <c r="Q215" s="42">
        <v>195052.0</v>
      </c>
    </row>
    <row r="216" ht="14.25" customHeight="1">
      <c r="A216" s="41" t="s">
        <v>125</v>
      </c>
      <c r="B216" s="42">
        <v>142949.0</v>
      </c>
      <c r="C216" s="42">
        <v>145326.0</v>
      </c>
      <c r="D216" s="42">
        <v>147810.0</v>
      </c>
      <c r="E216" s="42">
        <v>150483.0</v>
      </c>
      <c r="F216" s="42">
        <v>153200.0</v>
      </c>
      <c r="G216" s="42">
        <v>155977.0</v>
      </c>
      <c r="H216" s="42">
        <v>158739.0</v>
      </c>
      <c r="I216" s="42">
        <v>161556.0</v>
      </c>
      <c r="J216" s="42">
        <v>164370.0</v>
      </c>
      <c r="K216" s="42">
        <v>167134.0</v>
      </c>
      <c r="L216" s="42">
        <v>169844.0</v>
      </c>
      <c r="M216" s="42">
        <v>172466.0</v>
      </c>
      <c r="N216" s="42">
        <v>174900.0</v>
      </c>
      <c r="O216" s="42">
        <v>177158.0</v>
      </c>
      <c r="P216" s="42">
        <v>179381.0</v>
      </c>
      <c r="Q216" s="42">
        <v>181583.0</v>
      </c>
    </row>
    <row r="217" ht="14.25" customHeight="1">
      <c r="A217" s="41" t="s">
        <v>126</v>
      </c>
      <c r="B217" s="48">
        <v>2.04</v>
      </c>
      <c r="C217" s="48">
        <v>2.05</v>
      </c>
      <c r="D217" s="48">
        <v>2.06</v>
      </c>
      <c r="E217" s="48">
        <v>2.07</v>
      </c>
      <c r="F217" s="48">
        <v>2.09</v>
      </c>
      <c r="G217" s="48">
        <v>2.1</v>
      </c>
      <c r="H217" s="48">
        <v>2.12</v>
      </c>
      <c r="I217" s="48">
        <v>2.13</v>
      </c>
      <c r="J217" s="48">
        <v>2.14</v>
      </c>
      <c r="K217" s="48">
        <v>2.16</v>
      </c>
      <c r="L217" s="48">
        <v>2.17</v>
      </c>
      <c r="M217" s="48">
        <v>2.19</v>
      </c>
      <c r="N217" s="48">
        <v>2.2</v>
      </c>
      <c r="O217" s="48">
        <v>2.22</v>
      </c>
      <c r="P217" s="48">
        <v>2.23</v>
      </c>
      <c r="Q217" s="48">
        <v>2.25</v>
      </c>
    </row>
    <row r="218" ht="14.25" customHeight="1">
      <c r="A218" s="40" t="s">
        <v>43</v>
      </c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4"/>
    </row>
    <row r="219" ht="14.25" customHeight="1">
      <c r="A219" s="41" t="s">
        <v>121</v>
      </c>
      <c r="B219" s="42">
        <v>177686.0</v>
      </c>
      <c r="C219" s="42">
        <v>176867.0</v>
      </c>
      <c r="D219" s="42">
        <v>175982.0</v>
      </c>
      <c r="E219" s="42">
        <v>175029.0</v>
      </c>
      <c r="F219" s="42">
        <v>174051.0</v>
      </c>
      <c r="G219" s="42">
        <v>173018.0</v>
      </c>
      <c r="H219" s="42">
        <v>171915.0</v>
      </c>
      <c r="I219" s="42">
        <v>170744.0</v>
      </c>
      <c r="J219" s="42">
        <v>169488.0</v>
      </c>
      <c r="K219" s="42">
        <v>168127.0</v>
      </c>
      <c r="L219" s="42">
        <v>166613.0</v>
      </c>
      <c r="M219" s="42">
        <v>164919.0</v>
      </c>
      <c r="N219" s="42">
        <v>163164.0</v>
      </c>
      <c r="O219" s="42">
        <v>161319.0</v>
      </c>
      <c r="P219" s="42">
        <v>159338.0</v>
      </c>
      <c r="Q219" s="42">
        <v>157335.0</v>
      </c>
    </row>
    <row r="220" ht="14.25" customHeight="1">
      <c r="A220" s="41" t="s">
        <v>122</v>
      </c>
      <c r="B220" s="42">
        <v>75724.0</v>
      </c>
      <c r="C220" s="42">
        <v>74705.0</v>
      </c>
      <c r="D220" s="42">
        <v>73620.0</v>
      </c>
      <c r="E220" s="42">
        <v>72491.0</v>
      </c>
      <c r="F220" s="42">
        <v>71351.0</v>
      </c>
      <c r="G220" s="42">
        <v>70178.0</v>
      </c>
      <c r="H220" s="42">
        <v>68970.0</v>
      </c>
      <c r="I220" s="42">
        <v>67725.0</v>
      </c>
      <c r="J220" s="42">
        <v>66466.0</v>
      </c>
      <c r="K220" s="42">
        <v>65165.0</v>
      </c>
      <c r="L220" s="42">
        <v>63798.0</v>
      </c>
      <c r="M220" s="42">
        <v>62341.0</v>
      </c>
      <c r="N220" s="42">
        <v>60916.0</v>
      </c>
      <c r="O220" s="42">
        <v>59488.0</v>
      </c>
      <c r="P220" s="42">
        <v>57992.0</v>
      </c>
      <c r="Q220" s="42">
        <v>56508.0</v>
      </c>
    </row>
    <row r="221" ht="14.25" customHeight="1">
      <c r="A221" s="41" t="s">
        <v>123</v>
      </c>
      <c r="B221" s="42">
        <v>54192.0</v>
      </c>
      <c r="C221" s="42">
        <v>53741.0</v>
      </c>
      <c r="D221" s="42">
        <v>53262.0</v>
      </c>
      <c r="E221" s="42">
        <v>52721.0</v>
      </c>
      <c r="F221" s="42">
        <v>52173.0</v>
      </c>
      <c r="G221" s="42">
        <v>51594.0</v>
      </c>
      <c r="H221" s="42">
        <v>50988.0</v>
      </c>
      <c r="I221" s="42">
        <v>50371.0</v>
      </c>
      <c r="J221" s="42">
        <v>49710.0</v>
      </c>
      <c r="K221" s="42">
        <v>49030.0</v>
      </c>
      <c r="L221" s="42">
        <v>48293.0</v>
      </c>
      <c r="M221" s="42">
        <v>47504.0</v>
      </c>
      <c r="N221" s="42">
        <v>46718.0</v>
      </c>
      <c r="O221" s="42">
        <v>45920.0</v>
      </c>
      <c r="P221" s="42">
        <v>45070.0</v>
      </c>
      <c r="Q221" s="42">
        <v>44207.0</v>
      </c>
    </row>
    <row r="222" ht="14.25" customHeight="1">
      <c r="A222" s="41" t="s">
        <v>124</v>
      </c>
      <c r="B222" s="42">
        <v>24466.0</v>
      </c>
      <c r="C222" s="42">
        <v>24781.0</v>
      </c>
      <c r="D222" s="42">
        <v>25103.0</v>
      </c>
      <c r="E222" s="42">
        <v>25433.0</v>
      </c>
      <c r="F222" s="42">
        <v>25755.0</v>
      </c>
      <c r="G222" s="42">
        <v>26077.0</v>
      </c>
      <c r="H222" s="42">
        <v>26389.0</v>
      </c>
      <c r="I222" s="42">
        <v>26689.0</v>
      </c>
      <c r="J222" s="42">
        <v>26969.0</v>
      </c>
      <c r="K222" s="42">
        <v>27227.0</v>
      </c>
      <c r="L222" s="42">
        <v>27466.0</v>
      </c>
      <c r="M222" s="42">
        <v>27679.0</v>
      </c>
      <c r="N222" s="42">
        <v>27853.0</v>
      </c>
      <c r="O222" s="42">
        <v>27997.0</v>
      </c>
      <c r="P222" s="42">
        <v>28128.0</v>
      </c>
      <c r="Q222" s="42">
        <v>28247.0</v>
      </c>
    </row>
    <row r="223" ht="14.25" customHeight="1">
      <c r="A223" s="41" t="s">
        <v>125</v>
      </c>
      <c r="B223" s="42">
        <v>23304.0</v>
      </c>
      <c r="C223" s="42">
        <v>23640.0</v>
      </c>
      <c r="D223" s="42">
        <v>23997.0</v>
      </c>
      <c r="E223" s="42">
        <v>24384.0</v>
      </c>
      <c r="F223" s="42">
        <v>24772.0</v>
      </c>
      <c r="G223" s="42">
        <v>25169.0</v>
      </c>
      <c r="H223" s="42">
        <v>25568.0</v>
      </c>
      <c r="I223" s="42">
        <v>25959.0</v>
      </c>
      <c r="J223" s="42">
        <v>26343.0</v>
      </c>
      <c r="K223" s="42">
        <v>26705.0</v>
      </c>
      <c r="L223" s="42">
        <v>27056.0</v>
      </c>
      <c r="M223" s="42">
        <v>27395.0</v>
      </c>
      <c r="N223" s="42">
        <v>27677.0</v>
      </c>
      <c r="O223" s="42">
        <v>27914.0</v>
      </c>
      <c r="P223" s="42">
        <v>28148.0</v>
      </c>
      <c r="Q223" s="42">
        <v>28373.0</v>
      </c>
    </row>
    <row r="224" ht="14.25" customHeight="1">
      <c r="A224" s="41" t="s">
        <v>126</v>
      </c>
      <c r="B224" s="48">
        <v>2.04</v>
      </c>
      <c r="C224" s="48">
        <v>2.05</v>
      </c>
      <c r="D224" s="48">
        <v>2.07</v>
      </c>
      <c r="E224" s="48">
        <v>2.08</v>
      </c>
      <c r="F224" s="48">
        <v>2.09</v>
      </c>
      <c r="G224" s="48">
        <v>2.11</v>
      </c>
      <c r="H224" s="48">
        <v>2.12</v>
      </c>
      <c r="I224" s="48">
        <v>2.14</v>
      </c>
      <c r="J224" s="48">
        <v>2.15</v>
      </c>
      <c r="K224" s="48">
        <v>2.17</v>
      </c>
      <c r="L224" s="48">
        <v>2.18</v>
      </c>
      <c r="M224" s="48">
        <v>2.2</v>
      </c>
      <c r="N224" s="48">
        <v>2.21</v>
      </c>
      <c r="O224" s="48">
        <v>2.23</v>
      </c>
      <c r="P224" s="48">
        <v>2.24</v>
      </c>
      <c r="Q224" s="48">
        <v>2.26</v>
      </c>
    </row>
    <row r="225" ht="14.25" customHeight="1">
      <c r="A225" s="40" t="s">
        <v>44</v>
      </c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4"/>
    </row>
    <row r="226" ht="14.25" customHeight="1">
      <c r="A226" s="41" t="s">
        <v>121</v>
      </c>
      <c r="B226" s="42">
        <v>44131.0</v>
      </c>
      <c r="C226" s="42">
        <v>43922.0</v>
      </c>
      <c r="D226" s="42">
        <v>43712.0</v>
      </c>
      <c r="E226" s="42">
        <v>43483.0</v>
      </c>
      <c r="F226" s="42">
        <v>43251.0</v>
      </c>
      <c r="G226" s="42">
        <v>43009.0</v>
      </c>
      <c r="H226" s="42">
        <v>42761.0</v>
      </c>
      <c r="I226" s="42">
        <v>42481.0</v>
      </c>
      <c r="J226" s="42">
        <v>42196.0</v>
      </c>
      <c r="K226" s="42">
        <v>41868.0</v>
      </c>
      <c r="L226" s="42">
        <v>41500.0</v>
      </c>
      <c r="M226" s="42">
        <v>41103.0</v>
      </c>
      <c r="N226" s="42">
        <v>40672.0</v>
      </c>
      <c r="O226" s="42">
        <v>40203.0</v>
      </c>
      <c r="P226" s="42">
        <v>39718.0</v>
      </c>
      <c r="Q226" s="42">
        <v>39196.0</v>
      </c>
    </row>
    <row r="227" ht="14.25" customHeight="1">
      <c r="A227" s="41" t="s">
        <v>122</v>
      </c>
      <c r="B227" s="42">
        <v>18773.0</v>
      </c>
      <c r="C227" s="42">
        <v>18520.0</v>
      </c>
      <c r="D227" s="42">
        <v>18268.0</v>
      </c>
      <c r="E227" s="42">
        <v>17999.0</v>
      </c>
      <c r="F227" s="42">
        <v>17730.0</v>
      </c>
      <c r="G227" s="42">
        <v>17459.0</v>
      </c>
      <c r="H227" s="42">
        <v>17182.0</v>
      </c>
      <c r="I227" s="42">
        <v>16888.0</v>
      </c>
      <c r="J227" s="42">
        <v>16602.0</v>
      </c>
      <c r="K227" s="42">
        <v>16296.0</v>
      </c>
      <c r="L227" s="42">
        <v>15970.0</v>
      </c>
      <c r="M227" s="42">
        <v>15645.0</v>
      </c>
      <c r="N227" s="42">
        <v>15317.0</v>
      </c>
      <c r="O227" s="42">
        <v>14976.0</v>
      </c>
      <c r="P227" s="42">
        <v>14632.0</v>
      </c>
      <c r="Q227" s="42">
        <v>14279.0</v>
      </c>
    </row>
    <row r="228" ht="14.25" customHeight="1">
      <c r="A228" s="41" t="s">
        <v>123</v>
      </c>
      <c r="B228" s="42">
        <v>12609.0</v>
      </c>
      <c r="C228" s="42">
        <v>12522.0</v>
      </c>
      <c r="D228" s="42">
        <v>12432.0</v>
      </c>
      <c r="E228" s="42">
        <v>12331.0</v>
      </c>
      <c r="F228" s="42">
        <v>12227.0</v>
      </c>
      <c r="G228" s="42">
        <v>12116.0</v>
      </c>
      <c r="H228" s="42">
        <v>12007.0</v>
      </c>
      <c r="I228" s="42">
        <v>11884.0</v>
      </c>
      <c r="J228" s="42">
        <v>11760.0</v>
      </c>
      <c r="K228" s="42">
        <v>11621.0</v>
      </c>
      <c r="L228" s="42">
        <v>11469.0</v>
      </c>
      <c r="M228" s="42">
        <v>11310.0</v>
      </c>
      <c r="N228" s="42">
        <v>11138.0</v>
      </c>
      <c r="O228" s="42">
        <v>10957.0</v>
      </c>
      <c r="P228" s="42">
        <v>10772.0</v>
      </c>
      <c r="Q228" s="42">
        <v>10571.0</v>
      </c>
    </row>
    <row r="229" ht="14.25" customHeight="1">
      <c r="A229" s="41" t="s">
        <v>124</v>
      </c>
      <c r="B229" s="42">
        <v>6740.0</v>
      </c>
      <c r="C229" s="42">
        <v>6795.0</v>
      </c>
      <c r="D229" s="42">
        <v>6848.0</v>
      </c>
      <c r="E229" s="42">
        <v>6903.0</v>
      </c>
      <c r="F229" s="42">
        <v>6955.0</v>
      </c>
      <c r="G229" s="42">
        <v>7005.0</v>
      </c>
      <c r="H229" s="42">
        <v>7054.0</v>
      </c>
      <c r="I229" s="42">
        <v>7099.0</v>
      </c>
      <c r="J229" s="42">
        <v>7138.0</v>
      </c>
      <c r="K229" s="42">
        <v>7170.0</v>
      </c>
      <c r="L229" s="42">
        <v>7197.0</v>
      </c>
      <c r="M229" s="42">
        <v>7212.0</v>
      </c>
      <c r="N229" s="42">
        <v>7216.0</v>
      </c>
      <c r="O229" s="42">
        <v>7213.0</v>
      </c>
      <c r="P229" s="42">
        <v>7204.0</v>
      </c>
      <c r="Q229" s="42">
        <v>7187.0</v>
      </c>
    </row>
    <row r="230" ht="14.25" customHeight="1">
      <c r="A230" s="41" t="s">
        <v>125</v>
      </c>
      <c r="B230" s="42">
        <v>6009.0</v>
      </c>
      <c r="C230" s="42">
        <v>6085.0</v>
      </c>
      <c r="D230" s="42">
        <v>6164.0</v>
      </c>
      <c r="E230" s="42">
        <v>6250.0</v>
      </c>
      <c r="F230" s="42">
        <v>6339.0</v>
      </c>
      <c r="G230" s="42">
        <v>6429.0</v>
      </c>
      <c r="H230" s="42">
        <v>6518.0</v>
      </c>
      <c r="I230" s="42">
        <v>6610.0</v>
      </c>
      <c r="J230" s="42">
        <v>6696.0</v>
      </c>
      <c r="K230" s="42">
        <v>6781.0</v>
      </c>
      <c r="L230" s="42">
        <v>6864.0</v>
      </c>
      <c r="M230" s="42">
        <v>6936.0</v>
      </c>
      <c r="N230" s="42">
        <v>7001.0</v>
      </c>
      <c r="O230" s="42">
        <v>7057.0</v>
      </c>
      <c r="P230" s="42">
        <v>7110.0</v>
      </c>
      <c r="Q230" s="42">
        <v>7159.0</v>
      </c>
    </row>
    <row r="231" ht="14.25" customHeight="1">
      <c r="A231" s="41" t="s">
        <v>126</v>
      </c>
      <c r="B231" s="48">
        <v>2.1</v>
      </c>
      <c r="C231" s="48">
        <v>2.11</v>
      </c>
      <c r="D231" s="48">
        <v>2.12</v>
      </c>
      <c r="E231" s="48">
        <v>2.14</v>
      </c>
      <c r="F231" s="48">
        <v>2.15</v>
      </c>
      <c r="G231" s="48">
        <v>2.16</v>
      </c>
      <c r="H231" s="48">
        <v>2.17</v>
      </c>
      <c r="I231" s="48">
        <v>2.19</v>
      </c>
      <c r="J231" s="48">
        <v>2.2</v>
      </c>
      <c r="K231" s="48">
        <v>2.21</v>
      </c>
      <c r="L231" s="48">
        <v>2.22</v>
      </c>
      <c r="M231" s="48">
        <v>2.23</v>
      </c>
      <c r="N231" s="48">
        <v>2.24</v>
      </c>
      <c r="O231" s="48">
        <v>2.25</v>
      </c>
      <c r="P231" s="48">
        <v>2.27</v>
      </c>
      <c r="Q231" s="48">
        <v>2.28</v>
      </c>
    </row>
    <row r="232" ht="14.25" customHeight="1">
      <c r="A232" s="40" t="s">
        <v>45</v>
      </c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4"/>
    </row>
    <row r="233" ht="14.25" customHeight="1">
      <c r="A233" s="41" t="s">
        <v>121</v>
      </c>
      <c r="B233" s="42">
        <v>77320.0</v>
      </c>
      <c r="C233" s="42">
        <v>76777.0</v>
      </c>
      <c r="D233" s="42">
        <v>76195.0</v>
      </c>
      <c r="E233" s="42">
        <v>75590.0</v>
      </c>
      <c r="F233" s="42">
        <v>74983.0</v>
      </c>
      <c r="G233" s="42">
        <v>74354.0</v>
      </c>
      <c r="H233" s="42">
        <v>73720.0</v>
      </c>
      <c r="I233" s="42">
        <v>73055.0</v>
      </c>
      <c r="J233" s="42">
        <v>72338.0</v>
      </c>
      <c r="K233" s="42">
        <v>71582.0</v>
      </c>
      <c r="L233" s="42">
        <v>70760.0</v>
      </c>
      <c r="M233" s="42">
        <v>69872.0</v>
      </c>
      <c r="N233" s="42">
        <v>68945.0</v>
      </c>
      <c r="O233" s="42">
        <v>67959.0</v>
      </c>
      <c r="P233" s="42">
        <v>66946.0</v>
      </c>
      <c r="Q233" s="42">
        <v>65901.0</v>
      </c>
    </row>
    <row r="234" ht="14.25" customHeight="1">
      <c r="A234" s="41" t="s">
        <v>122</v>
      </c>
      <c r="B234" s="42">
        <v>30011.0</v>
      </c>
      <c r="C234" s="42">
        <v>29527.0</v>
      </c>
      <c r="D234" s="42">
        <v>29008.0</v>
      </c>
      <c r="E234" s="42">
        <v>28487.0</v>
      </c>
      <c r="F234" s="42">
        <v>27975.0</v>
      </c>
      <c r="G234" s="42">
        <v>27460.0</v>
      </c>
      <c r="H234" s="42">
        <v>26957.0</v>
      </c>
      <c r="I234" s="42">
        <v>26444.0</v>
      </c>
      <c r="J234" s="42">
        <v>25916.0</v>
      </c>
      <c r="K234" s="42">
        <v>25380.0</v>
      </c>
      <c r="L234" s="42">
        <v>24822.0</v>
      </c>
      <c r="M234" s="42">
        <v>24241.0</v>
      </c>
      <c r="N234" s="42">
        <v>23680.0</v>
      </c>
      <c r="O234" s="42">
        <v>23100.0</v>
      </c>
      <c r="P234" s="42">
        <v>22518.0</v>
      </c>
      <c r="Q234" s="42">
        <v>21930.0</v>
      </c>
    </row>
    <row r="235" ht="14.25" customHeight="1">
      <c r="A235" s="41" t="s">
        <v>123</v>
      </c>
      <c r="B235" s="42">
        <v>23280.0</v>
      </c>
      <c r="C235" s="42">
        <v>23028.0</v>
      </c>
      <c r="D235" s="42">
        <v>22759.0</v>
      </c>
      <c r="E235" s="42">
        <v>22462.0</v>
      </c>
      <c r="F235" s="42">
        <v>22161.0</v>
      </c>
      <c r="G235" s="42">
        <v>21846.0</v>
      </c>
      <c r="H235" s="42">
        <v>21530.0</v>
      </c>
      <c r="I235" s="42">
        <v>21209.0</v>
      </c>
      <c r="J235" s="42">
        <v>20861.0</v>
      </c>
      <c r="K235" s="42">
        <v>20512.0</v>
      </c>
      <c r="L235" s="42">
        <v>20139.0</v>
      </c>
      <c r="M235" s="42">
        <v>19758.0</v>
      </c>
      <c r="N235" s="42">
        <v>19355.0</v>
      </c>
      <c r="O235" s="42">
        <v>18942.0</v>
      </c>
      <c r="P235" s="42">
        <v>18528.0</v>
      </c>
      <c r="Q235" s="42">
        <v>18095.0</v>
      </c>
    </row>
    <row r="236" ht="14.25" customHeight="1">
      <c r="A236" s="41" t="s">
        <v>124</v>
      </c>
      <c r="B236" s="42">
        <v>12045.0</v>
      </c>
      <c r="C236" s="42">
        <v>12101.0</v>
      </c>
      <c r="D236" s="42">
        <v>12160.0</v>
      </c>
      <c r="E236" s="42">
        <v>12213.0</v>
      </c>
      <c r="F236" s="42">
        <v>12260.0</v>
      </c>
      <c r="G236" s="42">
        <v>12299.0</v>
      </c>
      <c r="H236" s="42">
        <v>12334.0</v>
      </c>
      <c r="I236" s="42">
        <v>12356.0</v>
      </c>
      <c r="J236" s="42">
        <v>12368.0</v>
      </c>
      <c r="K236" s="42">
        <v>12367.0</v>
      </c>
      <c r="L236" s="42">
        <v>12355.0</v>
      </c>
      <c r="M236" s="42">
        <v>12326.0</v>
      </c>
      <c r="N236" s="42">
        <v>12282.0</v>
      </c>
      <c r="O236" s="42">
        <v>12223.0</v>
      </c>
      <c r="P236" s="42">
        <v>12154.0</v>
      </c>
      <c r="Q236" s="42">
        <v>12083.0</v>
      </c>
    </row>
    <row r="237" ht="14.25" customHeight="1">
      <c r="A237" s="41" t="s">
        <v>125</v>
      </c>
      <c r="B237" s="42">
        <v>11984.0</v>
      </c>
      <c r="C237" s="42">
        <v>12121.0</v>
      </c>
      <c r="D237" s="42">
        <v>12268.0</v>
      </c>
      <c r="E237" s="42">
        <v>12428.0</v>
      </c>
      <c r="F237" s="42">
        <v>12587.0</v>
      </c>
      <c r="G237" s="42">
        <v>12749.0</v>
      </c>
      <c r="H237" s="42">
        <v>12899.0</v>
      </c>
      <c r="I237" s="42">
        <v>13046.0</v>
      </c>
      <c r="J237" s="42">
        <v>13193.0</v>
      </c>
      <c r="K237" s="42">
        <v>13323.0</v>
      </c>
      <c r="L237" s="42">
        <v>13444.0</v>
      </c>
      <c r="M237" s="42">
        <v>13547.0</v>
      </c>
      <c r="N237" s="42">
        <v>13628.0</v>
      </c>
      <c r="O237" s="42">
        <v>13694.0</v>
      </c>
      <c r="P237" s="42">
        <v>13746.0</v>
      </c>
      <c r="Q237" s="42">
        <v>13793.0</v>
      </c>
    </row>
    <row r="238" ht="14.25" customHeight="1">
      <c r="A238" s="41" t="s">
        <v>126</v>
      </c>
      <c r="B238" s="48">
        <v>2.16</v>
      </c>
      <c r="C238" s="48">
        <v>2.17</v>
      </c>
      <c r="D238" s="48">
        <v>2.18</v>
      </c>
      <c r="E238" s="48">
        <v>2.19</v>
      </c>
      <c r="F238" s="48">
        <v>2.21</v>
      </c>
      <c r="G238" s="48">
        <v>2.22</v>
      </c>
      <c r="H238" s="48">
        <v>2.24</v>
      </c>
      <c r="I238" s="48">
        <v>2.25</v>
      </c>
      <c r="J238" s="48">
        <v>2.26</v>
      </c>
      <c r="K238" s="48">
        <v>2.28</v>
      </c>
      <c r="L238" s="48">
        <v>2.29</v>
      </c>
      <c r="M238" s="48">
        <v>2.31</v>
      </c>
      <c r="N238" s="48">
        <v>2.32</v>
      </c>
      <c r="O238" s="48">
        <v>2.33</v>
      </c>
      <c r="P238" s="48">
        <v>2.35</v>
      </c>
      <c r="Q238" s="48">
        <v>2.36</v>
      </c>
    </row>
    <row r="239" ht="14.25" customHeight="1">
      <c r="A239" s="40" t="s">
        <v>46</v>
      </c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4"/>
    </row>
    <row r="240" ht="14.25" customHeight="1">
      <c r="A240" s="41" t="s">
        <v>121</v>
      </c>
      <c r="B240" s="42">
        <v>71557.0</v>
      </c>
      <c r="C240" s="42">
        <v>71595.0</v>
      </c>
      <c r="D240" s="42">
        <v>71594.0</v>
      </c>
      <c r="E240" s="42">
        <v>71581.0</v>
      </c>
      <c r="F240" s="42">
        <v>71547.0</v>
      </c>
      <c r="G240" s="42">
        <v>71498.0</v>
      </c>
      <c r="H240" s="42">
        <v>71426.0</v>
      </c>
      <c r="I240" s="42">
        <v>71333.0</v>
      </c>
      <c r="J240" s="42">
        <v>71220.0</v>
      </c>
      <c r="K240" s="42">
        <v>71074.0</v>
      </c>
      <c r="L240" s="42">
        <v>70879.0</v>
      </c>
      <c r="M240" s="42">
        <v>70656.0</v>
      </c>
      <c r="N240" s="42">
        <v>70402.0</v>
      </c>
      <c r="O240" s="42">
        <v>70119.0</v>
      </c>
      <c r="P240" s="42">
        <v>69824.0</v>
      </c>
      <c r="Q240" s="42">
        <v>69479.0</v>
      </c>
    </row>
    <row r="241" ht="14.25" customHeight="1">
      <c r="A241" s="41" t="s">
        <v>122</v>
      </c>
      <c r="B241" s="42">
        <v>30489.0</v>
      </c>
      <c r="C241" s="42">
        <v>30187.0</v>
      </c>
      <c r="D241" s="42">
        <v>29849.0</v>
      </c>
      <c r="E241" s="42">
        <v>29499.0</v>
      </c>
      <c r="F241" s="42">
        <v>29135.0</v>
      </c>
      <c r="G241" s="42">
        <v>28764.0</v>
      </c>
      <c r="H241" s="42">
        <v>28372.0</v>
      </c>
      <c r="I241" s="42">
        <v>27966.0</v>
      </c>
      <c r="J241" s="42">
        <v>27557.0</v>
      </c>
      <c r="K241" s="42">
        <v>27131.0</v>
      </c>
      <c r="L241" s="42">
        <v>26672.0</v>
      </c>
      <c r="M241" s="42">
        <v>26207.0</v>
      </c>
      <c r="N241" s="42">
        <v>25733.0</v>
      </c>
      <c r="O241" s="42">
        <v>25250.0</v>
      </c>
      <c r="P241" s="42">
        <v>24758.0</v>
      </c>
      <c r="Q241" s="42">
        <v>24230.0</v>
      </c>
    </row>
    <row r="242" ht="14.25" customHeight="1">
      <c r="A242" s="41" t="s">
        <v>123</v>
      </c>
      <c r="B242" s="42">
        <v>22847.0</v>
      </c>
      <c r="C242" s="42">
        <v>22787.0</v>
      </c>
      <c r="D242" s="42">
        <v>22713.0</v>
      </c>
      <c r="E242" s="42">
        <v>22634.0</v>
      </c>
      <c r="F242" s="42">
        <v>22535.0</v>
      </c>
      <c r="G242" s="42">
        <v>22427.0</v>
      </c>
      <c r="H242" s="42">
        <v>22315.0</v>
      </c>
      <c r="I242" s="42">
        <v>22191.0</v>
      </c>
      <c r="J242" s="42">
        <v>22049.0</v>
      </c>
      <c r="K242" s="42">
        <v>21894.0</v>
      </c>
      <c r="L242" s="42">
        <v>21721.0</v>
      </c>
      <c r="M242" s="42">
        <v>21534.0</v>
      </c>
      <c r="N242" s="42">
        <v>21325.0</v>
      </c>
      <c r="O242" s="42">
        <v>21103.0</v>
      </c>
      <c r="P242" s="42">
        <v>20874.0</v>
      </c>
      <c r="Q242" s="42">
        <v>20619.0</v>
      </c>
    </row>
    <row r="243" ht="14.25" customHeight="1">
      <c r="A243" s="41" t="s">
        <v>124</v>
      </c>
      <c r="B243" s="42">
        <v>9644.0</v>
      </c>
      <c r="C243" s="42">
        <v>9865.0</v>
      </c>
      <c r="D243" s="42">
        <v>10089.0</v>
      </c>
      <c r="E243" s="42">
        <v>10315.0</v>
      </c>
      <c r="F243" s="42">
        <v>10542.0</v>
      </c>
      <c r="G243" s="42">
        <v>10767.0</v>
      </c>
      <c r="H243" s="42">
        <v>10995.0</v>
      </c>
      <c r="I243" s="42">
        <v>11224.0</v>
      </c>
      <c r="J243" s="42">
        <v>11450.0</v>
      </c>
      <c r="K243" s="42">
        <v>11676.0</v>
      </c>
      <c r="L243" s="42">
        <v>11899.0</v>
      </c>
      <c r="M243" s="42">
        <v>12119.0</v>
      </c>
      <c r="N243" s="42">
        <v>12336.0</v>
      </c>
      <c r="O243" s="42">
        <v>12548.0</v>
      </c>
      <c r="P243" s="42">
        <v>12763.0</v>
      </c>
      <c r="Q243" s="42">
        <v>12982.0</v>
      </c>
    </row>
    <row r="244" ht="14.25" customHeight="1">
      <c r="A244" s="41" t="s">
        <v>125</v>
      </c>
      <c r="B244" s="42">
        <v>8577.0</v>
      </c>
      <c r="C244" s="42">
        <v>8756.0</v>
      </c>
      <c r="D244" s="42">
        <v>8943.0</v>
      </c>
      <c r="E244" s="42">
        <v>9133.0</v>
      </c>
      <c r="F244" s="42">
        <v>9335.0</v>
      </c>
      <c r="G244" s="42">
        <v>9540.0</v>
      </c>
      <c r="H244" s="42">
        <v>9744.0</v>
      </c>
      <c r="I244" s="42">
        <v>9952.0</v>
      </c>
      <c r="J244" s="42">
        <v>10164.0</v>
      </c>
      <c r="K244" s="42">
        <v>10373.0</v>
      </c>
      <c r="L244" s="42">
        <v>10587.0</v>
      </c>
      <c r="M244" s="42">
        <v>10796.0</v>
      </c>
      <c r="N244" s="42">
        <v>11008.0</v>
      </c>
      <c r="O244" s="42">
        <v>11218.0</v>
      </c>
      <c r="P244" s="42">
        <v>11429.0</v>
      </c>
      <c r="Q244" s="42">
        <v>11648.0</v>
      </c>
    </row>
    <row r="245" ht="14.25" customHeight="1">
      <c r="A245" s="41" t="s">
        <v>126</v>
      </c>
      <c r="B245" s="48">
        <v>2.02</v>
      </c>
      <c r="C245" s="48">
        <v>2.03</v>
      </c>
      <c r="D245" s="48">
        <v>2.05</v>
      </c>
      <c r="E245" s="48">
        <v>2.06</v>
      </c>
      <c r="F245" s="48">
        <v>2.08</v>
      </c>
      <c r="G245" s="48">
        <v>2.09</v>
      </c>
      <c r="H245" s="48">
        <v>2.1</v>
      </c>
      <c r="I245" s="48">
        <v>2.12</v>
      </c>
      <c r="J245" s="48">
        <v>2.13</v>
      </c>
      <c r="K245" s="48">
        <v>2.15</v>
      </c>
      <c r="L245" s="48">
        <v>2.16</v>
      </c>
      <c r="M245" s="48">
        <v>2.18</v>
      </c>
      <c r="N245" s="48">
        <v>2.2</v>
      </c>
      <c r="O245" s="48">
        <v>2.21</v>
      </c>
      <c r="P245" s="48">
        <v>2.23</v>
      </c>
      <c r="Q245" s="48">
        <v>2.24</v>
      </c>
    </row>
    <row r="246" ht="14.25" customHeight="1">
      <c r="A246" s="40" t="s">
        <v>47</v>
      </c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4"/>
    </row>
    <row r="247" ht="14.25" customHeight="1">
      <c r="A247" s="41" t="s">
        <v>121</v>
      </c>
      <c r="B247" s="42">
        <v>80156.0</v>
      </c>
      <c r="C247" s="42">
        <v>79754.0</v>
      </c>
      <c r="D247" s="42">
        <v>79353.0</v>
      </c>
      <c r="E247" s="42">
        <v>78940.0</v>
      </c>
      <c r="F247" s="42">
        <v>78502.0</v>
      </c>
      <c r="G247" s="42">
        <v>78073.0</v>
      </c>
      <c r="H247" s="42">
        <v>77629.0</v>
      </c>
      <c r="I247" s="42">
        <v>77152.0</v>
      </c>
      <c r="J247" s="42">
        <v>76653.0</v>
      </c>
      <c r="K247" s="42">
        <v>76103.0</v>
      </c>
      <c r="L247" s="42">
        <v>75482.0</v>
      </c>
      <c r="M247" s="42">
        <v>74794.0</v>
      </c>
      <c r="N247" s="42">
        <v>74073.0</v>
      </c>
      <c r="O247" s="42">
        <v>73273.0</v>
      </c>
      <c r="P247" s="42">
        <v>72444.0</v>
      </c>
      <c r="Q247" s="42">
        <v>71573.0</v>
      </c>
    </row>
    <row r="248" ht="14.25" customHeight="1">
      <c r="A248" s="41" t="s">
        <v>122</v>
      </c>
      <c r="B248" s="42">
        <v>34588.0</v>
      </c>
      <c r="C248" s="42">
        <v>34137.0</v>
      </c>
      <c r="D248" s="42">
        <v>33688.0</v>
      </c>
      <c r="E248" s="42">
        <v>33233.0</v>
      </c>
      <c r="F248" s="42">
        <v>32761.0</v>
      </c>
      <c r="G248" s="42">
        <v>32301.0</v>
      </c>
      <c r="H248" s="42">
        <v>31836.0</v>
      </c>
      <c r="I248" s="42">
        <v>31350.0</v>
      </c>
      <c r="J248" s="42">
        <v>30867.0</v>
      </c>
      <c r="K248" s="42">
        <v>30360.0</v>
      </c>
      <c r="L248" s="42">
        <v>29818.0</v>
      </c>
      <c r="M248" s="42">
        <v>29243.0</v>
      </c>
      <c r="N248" s="42">
        <v>28691.0</v>
      </c>
      <c r="O248" s="42">
        <v>28110.0</v>
      </c>
      <c r="P248" s="42">
        <v>27523.0</v>
      </c>
      <c r="Q248" s="42">
        <v>26934.0</v>
      </c>
    </row>
    <row r="249" ht="14.25" customHeight="1">
      <c r="A249" s="41" t="s">
        <v>123</v>
      </c>
      <c r="B249" s="42">
        <v>23903.0</v>
      </c>
      <c r="C249" s="42">
        <v>23715.0</v>
      </c>
      <c r="D249" s="42">
        <v>23519.0</v>
      </c>
      <c r="E249" s="42">
        <v>23308.0</v>
      </c>
      <c r="F249" s="42">
        <v>23079.0</v>
      </c>
      <c r="G249" s="42">
        <v>22853.0</v>
      </c>
      <c r="H249" s="42">
        <v>22621.0</v>
      </c>
      <c r="I249" s="42">
        <v>22381.0</v>
      </c>
      <c r="J249" s="42">
        <v>22125.0</v>
      </c>
      <c r="K249" s="42">
        <v>21863.0</v>
      </c>
      <c r="L249" s="42">
        <v>21577.0</v>
      </c>
      <c r="M249" s="42">
        <v>21284.0</v>
      </c>
      <c r="N249" s="42">
        <v>20969.0</v>
      </c>
      <c r="O249" s="42">
        <v>20636.0</v>
      </c>
      <c r="P249" s="42">
        <v>20305.0</v>
      </c>
      <c r="Q249" s="42">
        <v>19951.0</v>
      </c>
    </row>
    <row r="250" ht="14.25" customHeight="1">
      <c r="A250" s="41" t="s">
        <v>124</v>
      </c>
      <c r="B250" s="42">
        <v>11394.0</v>
      </c>
      <c r="C250" s="42">
        <v>11500.0</v>
      </c>
      <c r="D250" s="42">
        <v>11605.0</v>
      </c>
      <c r="E250" s="42">
        <v>11708.0</v>
      </c>
      <c r="F250" s="42">
        <v>11814.0</v>
      </c>
      <c r="G250" s="42">
        <v>11914.0</v>
      </c>
      <c r="H250" s="42">
        <v>12012.0</v>
      </c>
      <c r="I250" s="42">
        <v>12106.0</v>
      </c>
      <c r="J250" s="42">
        <v>12192.0</v>
      </c>
      <c r="K250" s="42">
        <v>12267.0</v>
      </c>
      <c r="L250" s="42">
        <v>12334.0</v>
      </c>
      <c r="M250" s="42">
        <v>12389.0</v>
      </c>
      <c r="N250" s="42">
        <v>12427.0</v>
      </c>
      <c r="O250" s="42">
        <v>12449.0</v>
      </c>
      <c r="P250" s="42">
        <v>12461.0</v>
      </c>
      <c r="Q250" s="42">
        <v>12464.0</v>
      </c>
    </row>
    <row r="251" ht="14.25" customHeight="1">
      <c r="A251" s="41" t="s">
        <v>125</v>
      </c>
      <c r="B251" s="42">
        <v>10271.0</v>
      </c>
      <c r="C251" s="42">
        <v>10402.0</v>
      </c>
      <c r="D251" s="42">
        <v>10541.0</v>
      </c>
      <c r="E251" s="42">
        <v>10691.0</v>
      </c>
      <c r="F251" s="42">
        <v>10848.0</v>
      </c>
      <c r="G251" s="42">
        <v>11005.0</v>
      </c>
      <c r="H251" s="42">
        <v>11160.0</v>
      </c>
      <c r="I251" s="42">
        <v>11315.0</v>
      </c>
      <c r="J251" s="42">
        <v>11469.0</v>
      </c>
      <c r="K251" s="42">
        <v>11613.0</v>
      </c>
      <c r="L251" s="42">
        <v>11753.0</v>
      </c>
      <c r="M251" s="42">
        <v>11878.0</v>
      </c>
      <c r="N251" s="42">
        <v>11986.0</v>
      </c>
      <c r="O251" s="42">
        <v>12078.0</v>
      </c>
      <c r="P251" s="42">
        <v>12155.0</v>
      </c>
      <c r="Q251" s="42">
        <v>12224.0</v>
      </c>
    </row>
    <row r="252" ht="14.25" customHeight="1">
      <c r="A252" s="41" t="s">
        <v>126</v>
      </c>
      <c r="B252" s="48">
        <v>2.04</v>
      </c>
      <c r="C252" s="48">
        <v>2.05</v>
      </c>
      <c r="D252" s="48">
        <v>2.06</v>
      </c>
      <c r="E252" s="48">
        <v>2.07</v>
      </c>
      <c r="F252" s="48">
        <v>2.08</v>
      </c>
      <c r="G252" s="48">
        <v>2.09</v>
      </c>
      <c r="H252" s="48">
        <v>2.1</v>
      </c>
      <c r="I252" s="48">
        <v>2.12</v>
      </c>
      <c r="J252" s="48">
        <v>2.13</v>
      </c>
      <c r="K252" s="48">
        <v>2.14</v>
      </c>
      <c r="L252" s="48">
        <v>2.15</v>
      </c>
      <c r="M252" s="48">
        <v>2.16</v>
      </c>
      <c r="N252" s="48">
        <v>2.18</v>
      </c>
      <c r="O252" s="48">
        <v>2.19</v>
      </c>
      <c r="P252" s="48">
        <v>2.2</v>
      </c>
      <c r="Q252" s="48">
        <v>2.21</v>
      </c>
    </row>
    <row r="253" ht="14.25" customHeight="1">
      <c r="A253" s="40" t="s">
        <v>48</v>
      </c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4"/>
    </row>
    <row r="254" ht="14.25" customHeight="1">
      <c r="A254" s="41" t="s">
        <v>121</v>
      </c>
      <c r="B254" s="42">
        <v>78131.0</v>
      </c>
      <c r="C254" s="42">
        <v>78126.0</v>
      </c>
      <c r="D254" s="42">
        <v>78124.0</v>
      </c>
      <c r="E254" s="42">
        <v>78108.0</v>
      </c>
      <c r="F254" s="42">
        <v>78104.0</v>
      </c>
      <c r="G254" s="42">
        <v>78096.0</v>
      </c>
      <c r="H254" s="42">
        <v>78082.0</v>
      </c>
      <c r="I254" s="42">
        <v>78030.0</v>
      </c>
      <c r="J254" s="42">
        <v>77986.0</v>
      </c>
      <c r="K254" s="42">
        <v>77903.0</v>
      </c>
      <c r="L254" s="42">
        <v>77794.0</v>
      </c>
      <c r="M254" s="42">
        <v>77627.0</v>
      </c>
      <c r="N254" s="42">
        <v>77451.0</v>
      </c>
      <c r="O254" s="42">
        <v>77278.0</v>
      </c>
      <c r="P254" s="42">
        <v>77060.0</v>
      </c>
      <c r="Q254" s="42">
        <v>76800.0</v>
      </c>
    </row>
    <row r="255" ht="14.25" customHeight="1">
      <c r="A255" s="41" t="s">
        <v>122</v>
      </c>
      <c r="B255" s="42">
        <v>35147.0</v>
      </c>
      <c r="C255" s="42">
        <v>34811.0</v>
      </c>
      <c r="D255" s="42">
        <v>34478.0</v>
      </c>
      <c r="E255" s="42">
        <v>34126.0</v>
      </c>
      <c r="F255" s="42">
        <v>33790.0</v>
      </c>
      <c r="G255" s="42">
        <v>33444.0</v>
      </c>
      <c r="H255" s="42">
        <v>33089.0</v>
      </c>
      <c r="I255" s="42">
        <v>32701.0</v>
      </c>
      <c r="J255" s="42">
        <v>32336.0</v>
      </c>
      <c r="K255" s="42">
        <v>31935.0</v>
      </c>
      <c r="L255" s="42">
        <v>31516.0</v>
      </c>
      <c r="M255" s="42">
        <v>31040.0</v>
      </c>
      <c r="N255" s="42">
        <v>30589.0</v>
      </c>
      <c r="O255" s="42">
        <v>30154.0</v>
      </c>
      <c r="P255" s="42">
        <v>29666.0</v>
      </c>
      <c r="Q255" s="42">
        <v>29156.0</v>
      </c>
    </row>
    <row r="256" ht="14.25" customHeight="1">
      <c r="A256" s="41" t="s">
        <v>123</v>
      </c>
      <c r="B256" s="42">
        <v>24681.0</v>
      </c>
      <c r="C256" s="42">
        <v>24625.0</v>
      </c>
      <c r="D256" s="42">
        <v>24557.0</v>
      </c>
      <c r="E256" s="42">
        <v>24480.0</v>
      </c>
      <c r="F256" s="42">
        <v>24398.0</v>
      </c>
      <c r="G256" s="42">
        <v>24319.0</v>
      </c>
      <c r="H256" s="42">
        <v>24231.0</v>
      </c>
      <c r="I256" s="42">
        <v>24126.0</v>
      </c>
      <c r="J256" s="42">
        <v>24010.0</v>
      </c>
      <c r="K256" s="42">
        <v>23879.0</v>
      </c>
      <c r="L256" s="42">
        <v>23745.0</v>
      </c>
      <c r="M256" s="42">
        <v>23599.0</v>
      </c>
      <c r="N256" s="42">
        <v>23426.0</v>
      </c>
      <c r="O256" s="42">
        <v>23254.0</v>
      </c>
      <c r="P256" s="42">
        <v>23068.0</v>
      </c>
      <c r="Q256" s="42">
        <v>22860.0</v>
      </c>
    </row>
    <row r="257" ht="14.25" customHeight="1">
      <c r="A257" s="41" t="s">
        <v>124</v>
      </c>
      <c r="B257" s="42">
        <v>10924.0</v>
      </c>
      <c r="C257" s="42">
        <v>11107.0</v>
      </c>
      <c r="D257" s="42">
        <v>11293.0</v>
      </c>
      <c r="E257" s="42">
        <v>11483.0</v>
      </c>
      <c r="F257" s="42">
        <v>11671.0</v>
      </c>
      <c r="G257" s="42">
        <v>11856.0</v>
      </c>
      <c r="H257" s="42">
        <v>12045.0</v>
      </c>
      <c r="I257" s="42">
        <v>12236.0</v>
      </c>
      <c r="J257" s="42">
        <v>12422.0</v>
      </c>
      <c r="K257" s="42">
        <v>12609.0</v>
      </c>
      <c r="L257" s="42">
        <v>12792.0</v>
      </c>
      <c r="M257" s="42">
        <v>12978.0</v>
      </c>
      <c r="N257" s="42">
        <v>13157.0</v>
      </c>
      <c r="O257" s="42">
        <v>13326.0</v>
      </c>
      <c r="P257" s="42">
        <v>13505.0</v>
      </c>
      <c r="Q257" s="42">
        <v>13678.0</v>
      </c>
    </row>
    <row r="258" ht="14.25" customHeight="1">
      <c r="A258" s="41" t="s">
        <v>125</v>
      </c>
      <c r="B258" s="42">
        <v>7379.0</v>
      </c>
      <c r="C258" s="42">
        <v>7583.0</v>
      </c>
      <c r="D258" s="42">
        <v>7796.0</v>
      </c>
      <c r="E258" s="42">
        <v>8019.0</v>
      </c>
      <c r="F258" s="42">
        <v>8245.0</v>
      </c>
      <c r="G258" s="42">
        <v>8477.0</v>
      </c>
      <c r="H258" s="42">
        <v>8717.0</v>
      </c>
      <c r="I258" s="42">
        <v>8967.0</v>
      </c>
      <c r="J258" s="42">
        <v>9218.0</v>
      </c>
      <c r="K258" s="42">
        <v>9480.0</v>
      </c>
      <c r="L258" s="42">
        <v>9741.0</v>
      </c>
      <c r="M258" s="42">
        <v>10010.0</v>
      </c>
      <c r="N258" s="42">
        <v>10279.0</v>
      </c>
      <c r="O258" s="42">
        <v>10544.0</v>
      </c>
      <c r="P258" s="42">
        <v>10821.0</v>
      </c>
      <c r="Q258" s="42">
        <v>11106.0</v>
      </c>
    </row>
    <row r="259" ht="14.25" customHeight="1">
      <c r="A259" s="41" t="s">
        <v>126</v>
      </c>
      <c r="B259" s="48">
        <v>1.93</v>
      </c>
      <c r="C259" s="48">
        <v>1.94</v>
      </c>
      <c r="D259" s="48">
        <v>1.95</v>
      </c>
      <c r="E259" s="48">
        <v>1.97</v>
      </c>
      <c r="F259" s="48">
        <v>1.98</v>
      </c>
      <c r="G259" s="48">
        <v>1.99</v>
      </c>
      <c r="H259" s="48">
        <v>2.01</v>
      </c>
      <c r="I259" s="48">
        <v>2.02</v>
      </c>
      <c r="J259" s="48">
        <v>2.03</v>
      </c>
      <c r="K259" s="48">
        <v>2.05</v>
      </c>
      <c r="L259" s="48">
        <v>2.06</v>
      </c>
      <c r="M259" s="48">
        <v>2.08</v>
      </c>
      <c r="N259" s="48">
        <v>2.1</v>
      </c>
      <c r="O259" s="48">
        <v>2.11</v>
      </c>
      <c r="P259" s="48">
        <v>2.13</v>
      </c>
      <c r="Q259" s="48">
        <v>2.14</v>
      </c>
    </row>
    <row r="260" ht="14.25" customHeight="1">
      <c r="A260" s="40" t="s">
        <v>49</v>
      </c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4"/>
    </row>
    <row r="261" ht="14.25" customHeight="1">
      <c r="A261" s="41" t="s">
        <v>121</v>
      </c>
      <c r="B261" s="42">
        <v>248116.0</v>
      </c>
      <c r="C261" s="42">
        <v>247212.0</v>
      </c>
      <c r="D261" s="42">
        <v>246242.0</v>
      </c>
      <c r="E261" s="42">
        <v>245113.0</v>
      </c>
      <c r="F261" s="42">
        <v>243987.0</v>
      </c>
      <c r="G261" s="42">
        <v>242778.0</v>
      </c>
      <c r="H261" s="42">
        <v>241485.0</v>
      </c>
      <c r="I261" s="42">
        <v>240053.0</v>
      </c>
      <c r="J261" s="42">
        <v>238536.0</v>
      </c>
      <c r="K261" s="42">
        <v>236823.0</v>
      </c>
      <c r="L261" s="42">
        <v>234939.0</v>
      </c>
      <c r="M261" s="42">
        <v>232859.0</v>
      </c>
      <c r="N261" s="42">
        <v>230666.0</v>
      </c>
      <c r="O261" s="42">
        <v>228351.0</v>
      </c>
      <c r="P261" s="42">
        <v>225870.0</v>
      </c>
      <c r="Q261" s="42">
        <v>223336.0</v>
      </c>
    </row>
    <row r="262" ht="14.25" customHeight="1">
      <c r="A262" s="41" t="s">
        <v>122</v>
      </c>
      <c r="B262" s="42">
        <v>95600.0</v>
      </c>
      <c r="C262" s="42">
        <v>94302.0</v>
      </c>
      <c r="D262" s="42">
        <v>92933.0</v>
      </c>
      <c r="E262" s="42">
        <v>91449.0</v>
      </c>
      <c r="F262" s="42">
        <v>89980.0</v>
      </c>
      <c r="G262" s="42">
        <v>88460.0</v>
      </c>
      <c r="H262" s="42">
        <v>86881.0</v>
      </c>
      <c r="I262" s="42">
        <v>85220.0</v>
      </c>
      <c r="J262" s="42">
        <v>83540.0</v>
      </c>
      <c r="K262" s="42">
        <v>81736.0</v>
      </c>
      <c r="L262" s="42">
        <v>79860.0</v>
      </c>
      <c r="M262" s="42">
        <v>77896.0</v>
      </c>
      <c r="N262" s="42">
        <v>75943.0</v>
      </c>
      <c r="O262" s="42">
        <v>73988.0</v>
      </c>
      <c r="P262" s="42">
        <v>71917.0</v>
      </c>
      <c r="Q262" s="42">
        <v>69851.0</v>
      </c>
    </row>
    <row r="263" ht="14.25" customHeight="1">
      <c r="A263" s="41" t="s">
        <v>123</v>
      </c>
      <c r="B263" s="42">
        <v>81867.0</v>
      </c>
      <c r="C263" s="42">
        <v>81209.0</v>
      </c>
      <c r="D263" s="42">
        <v>80532.0</v>
      </c>
      <c r="E263" s="42">
        <v>79726.0</v>
      </c>
      <c r="F263" s="42">
        <v>78930.0</v>
      </c>
      <c r="G263" s="42">
        <v>78084.0</v>
      </c>
      <c r="H263" s="42">
        <v>77232.0</v>
      </c>
      <c r="I263" s="42">
        <v>76323.0</v>
      </c>
      <c r="J263" s="42">
        <v>75381.0</v>
      </c>
      <c r="K263" s="42">
        <v>74388.0</v>
      </c>
      <c r="L263" s="42">
        <v>73351.0</v>
      </c>
      <c r="M263" s="42">
        <v>72256.0</v>
      </c>
      <c r="N263" s="42">
        <v>71132.0</v>
      </c>
      <c r="O263" s="42">
        <v>69973.0</v>
      </c>
      <c r="P263" s="42">
        <v>68797.0</v>
      </c>
      <c r="Q263" s="42">
        <v>67601.0</v>
      </c>
    </row>
    <row r="264" ht="14.25" customHeight="1">
      <c r="A264" s="41" t="s">
        <v>124</v>
      </c>
      <c r="B264" s="42">
        <v>36777.0</v>
      </c>
      <c r="C264" s="42">
        <v>37342.0</v>
      </c>
      <c r="D264" s="42">
        <v>37910.0</v>
      </c>
      <c r="E264" s="42">
        <v>38500.0</v>
      </c>
      <c r="F264" s="42">
        <v>39072.0</v>
      </c>
      <c r="G264" s="42">
        <v>39644.0</v>
      </c>
      <c r="H264" s="42">
        <v>40204.0</v>
      </c>
      <c r="I264" s="42">
        <v>40752.0</v>
      </c>
      <c r="J264" s="42">
        <v>41278.0</v>
      </c>
      <c r="K264" s="42">
        <v>41782.0</v>
      </c>
      <c r="L264" s="42">
        <v>42258.0</v>
      </c>
      <c r="M264" s="42">
        <v>42703.0</v>
      </c>
      <c r="N264" s="42">
        <v>43103.0</v>
      </c>
      <c r="O264" s="42">
        <v>43456.0</v>
      </c>
      <c r="P264" s="42">
        <v>43796.0</v>
      </c>
      <c r="Q264" s="42">
        <v>44117.0</v>
      </c>
    </row>
    <row r="265" ht="14.25" customHeight="1">
      <c r="A265" s="41" t="s">
        <v>125</v>
      </c>
      <c r="B265" s="42">
        <v>33872.0</v>
      </c>
      <c r="C265" s="42">
        <v>34359.0</v>
      </c>
      <c r="D265" s="42">
        <v>34867.0</v>
      </c>
      <c r="E265" s="42">
        <v>35438.0</v>
      </c>
      <c r="F265" s="42">
        <v>36005.0</v>
      </c>
      <c r="G265" s="42">
        <v>36590.0</v>
      </c>
      <c r="H265" s="42">
        <v>37168.0</v>
      </c>
      <c r="I265" s="42">
        <v>37758.0</v>
      </c>
      <c r="J265" s="42">
        <v>38337.0</v>
      </c>
      <c r="K265" s="42">
        <v>38917.0</v>
      </c>
      <c r="L265" s="42">
        <v>39470.0</v>
      </c>
      <c r="M265" s="42">
        <v>40004.0</v>
      </c>
      <c r="N265" s="42">
        <v>40488.0</v>
      </c>
      <c r="O265" s="42">
        <v>40934.0</v>
      </c>
      <c r="P265" s="42">
        <v>41360.0</v>
      </c>
      <c r="Q265" s="42">
        <v>41767.0</v>
      </c>
    </row>
    <row r="266" ht="14.25" customHeight="1">
      <c r="A266" s="41" t="s">
        <v>126</v>
      </c>
      <c r="B266" s="48">
        <v>2.11</v>
      </c>
      <c r="C266" s="48">
        <v>2.12</v>
      </c>
      <c r="D266" s="48">
        <v>2.14</v>
      </c>
      <c r="E266" s="48">
        <v>2.15</v>
      </c>
      <c r="F266" s="48">
        <v>2.16</v>
      </c>
      <c r="G266" s="48">
        <v>2.18</v>
      </c>
      <c r="H266" s="48">
        <v>2.19</v>
      </c>
      <c r="I266" s="48">
        <v>2.21</v>
      </c>
      <c r="J266" s="48">
        <v>2.22</v>
      </c>
      <c r="K266" s="48">
        <v>2.24</v>
      </c>
      <c r="L266" s="48">
        <v>2.25</v>
      </c>
      <c r="M266" s="48">
        <v>2.27</v>
      </c>
      <c r="N266" s="48">
        <v>2.28</v>
      </c>
      <c r="O266" s="48">
        <v>2.3</v>
      </c>
      <c r="P266" s="48">
        <v>2.32</v>
      </c>
      <c r="Q266" s="48">
        <v>2.33</v>
      </c>
    </row>
    <row r="267" ht="14.25" customHeight="1">
      <c r="A267" s="40" t="s">
        <v>50</v>
      </c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4"/>
    </row>
    <row r="268" ht="14.25" customHeight="1">
      <c r="A268" s="41" t="s">
        <v>121</v>
      </c>
      <c r="B268" s="42">
        <v>159745.0</v>
      </c>
      <c r="C268" s="42">
        <v>159355.0</v>
      </c>
      <c r="D268" s="42">
        <v>158946.0</v>
      </c>
      <c r="E268" s="42">
        <v>158483.0</v>
      </c>
      <c r="F268" s="42">
        <v>157991.0</v>
      </c>
      <c r="G268" s="42">
        <v>157465.0</v>
      </c>
      <c r="H268" s="42">
        <v>156909.0</v>
      </c>
      <c r="I268" s="42">
        <v>156246.0</v>
      </c>
      <c r="J268" s="42">
        <v>155499.0</v>
      </c>
      <c r="K268" s="42">
        <v>154641.0</v>
      </c>
      <c r="L268" s="42">
        <v>153655.0</v>
      </c>
      <c r="M268" s="42">
        <v>152512.0</v>
      </c>
      <c r="N268" s="42">
        <v>151261.0</v>
      </c>
      <c r="O268" s="42">
        <v>149921.0</v>
      </c>
      <c r="P268" s="42">
        <v>148437.0</v>
      </c>
      <c r="Q268" s="42">
        <v>146881.0</v>
      </c>
    </row>
    <row r="269" ht="14.25" customHeight="1">
      <c r="A269" s="41" t="s">
        <v>122</v>
      </c>
      <c r="B269" s="42">
        <v>68875.0</v>
      </c>
      <c r="C269" s="42">
        <v>68055.0</v>
      </c>
      <c r="D269" s="42">
        <v>67223.0</v>
      </c>
      <c r="E269" s="42">
        <v>66348.0</v>
      </c>
      <c r="F269" s="42">
        <v>65451.0</v>
      </c>
      <c r="G269" s="42">
        <v>64548.0</v>
      </c>
      <c r="H269" s="42">
        <v>63629.0</v>
      </c>
      <c r="I269" s="42">
        <v>62639.0</v>
      </c>
      <c r="J269" s="42">
        <v>61612.0</v>
      </c>
      <c r="K269" s="42">
        <v>60523.0</v>
      </c>
      <c r="L269" s="42">
        <v>59372.0</v>
      </c>
      <c r="M269" s="42">
        <v>58137.0</v>
      </c>
      <c r="N269" s="42">
        <v>56894.0</v>
      </c>
      <c r="O269" s="42">
        <v>55640.0</v>
      </c>
      <c r="P269" s="42">
        <v>54294.0</v>
      </c>
      <c r="Q269" s="42">
        <v>52945.0</v>
      </c>
    </row>
    <row r="270" ht="14.25" customHeight="1">
      <c r="A270" s="41" t="s">
        <v>123</v>
      </c>
      <c r="B270" s="42">
        <v>49862.0</v>
      </c>
      <c r="C270" s="42">
        <v>49641.0</v>
      </c>
      <c r="D270" s="42">
        <v>49393.0</v>
      </c>
      <c r="E270" s="42">
        <v>49103.0</v>
      </c>
      <c r="F270" s="42">
        <v>48803.0</v>
      </c>
      <c r="G270" s="42">
        <v>48459.0</v>
      </c>
      <c r="H270" s="42">
        <v>48113.0</v>
      </c>
      <c r="I270" s="42">
        <v>47716.0</v>
      </c>
      <c r="J270" s="42">
        <v>47278.0</v>
      </c>
      <c r="K270" s="42">
        <v>46818.0</v>
      </c>
      <c r="L270" s="42">
        <v>46313.0</v>
      </c>
      <c r="M270" s="42">
        <v>45773.0</v>
      </c>
      <c r="N270" s="42">
        <v>45185.0</v>
      </c>
      <c r="O270" s="42">
        <v>44586.0</v>
      </c>
      <c r="P270" s="42">
        <v>43946.0</v>
      </c>
      <c r="Q270" s="42">
        <v>43259.0</v>
      </c>
    </row>
    <row r="271" ht="14.25" customHeight="1">
      <c r="A271" s="41" t="s">
        <v>124</v>
      </c>
      <c r="B271" s="42">
        <v>23269.0</v>
      </c>
      <c r="C271" s="42">
        <v>23549.0</v>
      </c>
      <c r="D271" s="42">
        <v>23836.0</v>
      </c>
      <c r="E271" s="42">
        <v>24129.0</v>
      </c>
      <c r="F271" s="42">
        <v>24416.0</v>
      </c>
      <c r="G271" s="42">
        <v>24706.0</v>
      </c>
      <c r="H271" s="42">
        <v>24990.0</v>
      </c>
      <c r="I271" s="42">
        <v>25269.0</v>
      </c>
      <c r="J271" s="42">
        <v>25537.0</v>
      </c>
      <c r="K271" s="42">
        <v>25788.0</v>
      </c>
      <c r="L271" s="42">
        <v>26024.0</v>
      </c>
      <c r="M271" s="42">
        <v>26232.0</v>
      </c>
      <c r="N271" s="42">
        <v>26412.0</v>
      </c>
      <c r="O271" s="42">
        <v>26561.0</v>
      </c>
      <c r="P271" s="42">
        <v>26699.0</v>
      </c>
      <c r="Q271" s="42">
        <v>26822.0</v>
      </c>
    </row>
    <row r="272" ht="14.25" customHeight="1">
      <c r="A272" s="41" t="s">
        <v>125</v>
      </c>
      <c r="B272" s="42">
        <v>17739.0</v>
      </c>
      <c r="C272" s="42">
        <v>18110.0</v>
      </c>
      <c r="D272" s="42">
        <v>18494.0</v>
      </c>
      <c r="E272" s="42">
        <v>18903.0</v>
      </c>
      <c r="F272" s="42">
        <v>19321.0</v>
      </c>
      <c r="G272" s="42">
        <v>19752.0</v>
      </c>
      <c r="H272" s="42">
        <v>20177.0</v>
      </c>
      <c r="I272" s="42">
        <v>20622.0</v>
      </c>
      <c r="J272" s="42">
        <v>21072.0</v>
      </c>
      <c r="K272" s="42">
        <v>21512.0</v>
      </c>
      <c r="L272" s="42">
        <v>21946.0</v>
      </c>
      <c r="M272" s="42">
        <v>22370.0</v>
      </c>
      <c r="N272" s="42">
        <v>22770.0</v>
      </c>
      <c r="O272" s="42">
        <v>23134.0</v>
      </c>
      <c r="P272" s="42">
        <v>23498.0</v>
      </c>
      <c r="Q272" s="42">
        <v>23855.0</v>
      </c>
    </row>
    <row r="273" ht="14.25" customHeight="1">
      <c r="A273" s="41" t="s">
        <v>126</v>
      </c>
      <c r="B273" s="48">
        <v>1.98</v>
      </c>
      <c r="C273" s="48">
        <v>1.99</v>
      </c>
      <c r="D273" s="48">
        <v>2.0</v>
      </c>
      <c r="E273" s="48">
        <v>2.02</v>
      </c>
      <c r="F273" s="48">
        <v>2.03</v>
      </c>
      <c r="G273" s="48">
        <v>2.05</v>
      </c>
      <c r="H273" s="48">
        <v>2.06</v>
      </c>
      <c r="I273" s="48">
        <v>2.07</v>
      </c>
      <c r="J273" s="48">
        <v>2.09</v>
      </c>
      <c r="K273" s="48">
        <v>2.11</v>
      </c>
      <c r="L273" s="48">
        <v>2.12</v>
      </c>
      <c r="M273" s="48">
        <v>2.14</v>
      </c>
      <c r="N273" s="48">
        <v>2.15</v>
      </c>
      <c r="O273" s="48">
        <v>2.17</v>
      </c>
      <c r="P273" s="48">
        <v>2.19</v>
      </c>
      <c r="Q273" s="48">
        <v>2.21</v>
      </c>
    </row>
    <row r="274" ht="14.25" customHeight="1">
      <c r="A274" s="40" t="s">
        <v>51</v>
      </c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4"/>
    </row>
    <row r="275" ht="14.25" customHeight="1">
      <c r="A275" s="41" t="s">
        <v>121</v>
      </c>
      <c r="B275" s="42">
        <v>214831.0</v>
      </c>
      <c r="C275" s="42">
        <v>214360.0</v>
      </c>
      <c r="D275" s="42">
        <v>213839.0</v>
      </c>
      <c r="E275" s="42">
        <v>213275.0</v>
      </c>
      <c r="F275" s="42">
        <v>212667.0</v>
      </c>
      <c r="G275" s="42">
        <v>212049.0</v>
      </c>
      <c r="H275" s="42">
        <v>211404.0</v>
      </c>
      <c r="I275" s="42">
        <v>210690.0</v>
      </c>
      <c r="J275" s="42">
        <v>209886.0</v>
      </c>
      <c r="K275" s="42">
        <v>209012.0</v>
      </c>
      <c r="L275" s="42">
        <v>208027.0</v>
      </c>
      <c r="M275" s="42">
        <v>206927.0</v>
      </c>
      <c r="N275" s="42">
        <v>205774.0</v>
      </c>
      <c r="O275" s="42">
        <v>204517.0</v>
      </c>
      <c r="P275" s="42">
        <v>203158.0</v>
      </c>
      <c r="Q275" s="42">
        <v>201757.0</v>
      </c>
    </row>
    <row r="276" ht="14.25" customHeight="1">
      <c r="A276" s="41" t="s">
        <v>122</v>
      </c>
      <c r="B276" s="42">
        <v>92859.0</v>
      </c>
      <c r="C276" s="42">
        <v>91823.0</v>
      </c>
      <c r="D276" s="42">
        <v>90728.0</v>
      </c>
      <c r="E276" s="42">
        <v>89598.0</v>
      </c>
      <c r="F276" s="42">
        <v>88427.0</v>
      </c>
      <c r="G276" s="42">
        <v>87254.0</v>
      </c>
      <c r="H276" s="42">
        <v>86064.0</v>
      </c>
      <c r="I276" s="42">
        <v>84823.0</v>
      </c>
      <c r="J276" s="42">
        <v>83523.0</v>
      </c>
      <c r="K276" s="42">
        <v>82186.0</v>
      </c>
      <c r="L276" s="42">
        <v>80773.0</v>
      </c>
      <c r="M276" s="42">
        <v>79291.0</v>
      </c>
      <c r="N276" s="42">
        <v>77834.0</v>
      </c>
      <c r="O276" s="42">
        <v>76315.0</v>
      </c>
      <c r="P276" s="42">
        <v>74715.0</v>
      </c>
      <c r="Q276" s="42">
        <v>73089.0</v>
      </c>
    </row>
    <row r="277" ht="14.25" customHeight="1">
      <c r="A277" s="41" t="s">
        <v>123</v>
      </c>
      <c r="B277" s="42">
        <v>67234.0</v>
      </c>
      <c r="C277" s="42">
        <v>66901.0</v>
      </c>
      <c r="D277" s="42">
        <v>66554.0</v>
      </c>
      <c r="E277" s="42">
        <v>66163.0</v>
      </c>
      <c r="F277" s="42">
        <v>65753.0</v>
      </c>
      <c r="G277" s="42">
        <v>65327.0</v>
      </c>
      <c r="H277" s="42">
        <v>64889.0</v>
      </c>
      <c r="I277" s="42">
        <v>64417.0</v>
      </c>
      <c r="J277" s="42">
        <v>63904.0</v>
      </c>
      <c r="K277" s="42">
        <v>63368.0</v>
      </c>
      <c r="L277" s="42">
        <v>62802.0</v>
      </c>
      <c r="M277" s="42">
        <v>62210.0</v>
      </c>
      <c r="N277" s="42">
        <v>61580.0</v>
      </c>
      <c r="O277" s="42">
        <v>60928.0</v>
      </c>
      <c r="P277" s="42">
        <v>60249.0</v>
      </c>
      <c r="Q277" s="42">
        <v>59538.0</v>
      </c>
    </row>
    <row r="278" ht="14.25" customHeight="1">
      <c r="A278" s="41" t="s">
        <v>124</v>
      </c>
      <c r="B278" s="42">
        <v>30924.0</v>
      </c>
      <c r="C278" s="42">
        <v>31366.0</v>
      </c>
      <c r="D278" s="42">
        <v>31817.0</v>
      </c>
      <c r="E278" s="42">
        <v>32277.0</v>
      </c>
      <c r="F278" s="42">
        <v>32739.0</v>
      </c>
      <c r="G278" s="42">
        <v>33202.0</v>
      </c>
      <c r="H278" s="42">
        <v>33663.0</v>
      </c>
      <c r="I278" s="42">
        <v>34123.0</v>
      </c>
      <c r="J278" s="42">
        <v>34581.0</v>
      </c>
      <c r="K278" s="42">
        <v>35028.0</v>
      </c>
      <c r="L278" s="42">
        <v>35469.0</v>
      </c>
      <c r="M278" s="42">
        <v>35896.0</v>
      </c>
      <c r="N278" s="42">
        <v>36297.0</v>
      </c>
      <c r="O278" s="42">
        <v>36689.0</v>
      </c>
      <c r="P278" s="42">
        <v>37080.0</v>
      </c>
      <c r="Q278" s="42">
        <v>37472.0</v>
      </c>
    </row>
    <row r="279" ht="14.25" customHeight="1">
      <c r="A279" s="41" t="s">
        <v>125</v>
      </c>
      <c r="B279" s="42">
        <v>23814.0</v>
      </c>
      <c r="C279" s="42">
        <v>24270.0</v>
      </c>
      <c r="D279" s="42">
        <v>24740.0</v>
      </c>
      <c r="E279" s="42">
        <v>25237.0</v>
      </c>
      <c r="F279" s="42">
        <v>25748.0</v>
      </c>
      <c r="G279" s="42">
        <v>26266.0</v>
      </c>
      <c r="H279" s="42">
        <v>26788.0</v>
      </c>
      <c r="I279" s="42">
        <v>27327.0</v>
      </c>
      <c r="J279" s="42">
        <v>27878.0</v>
      </c>
      <c r="K279" s="42">
        <v>28430.0</v>
      </c>
      <c r="L279" s="42">
        <v>28983.0</v>
      </c>
      <c r="M279" s="42">
        <v>29530.0</v>
      </c>
      <c r="N279" s="42">
        <v>30063.0</v>
      </c>
      <c r="O279" s="42">
        <v>30585.0</v>
      </c>
      <c r="P279" s="42">
        <v>31114.0</v>
      </c>
      <c r="Q279" s="42">
        <v>31658.0</v>
      </c>
    </row>
    <row r="280" ht="14.25" customHeight="1">
      <c r="A280" s="41" t="s">
        <v>126</v>
      </c>
      <c r="B280" s="48">
        <v>1.98</v>
      </c>
      <c r="C280" s="48">
        <v>1.99</v>
      </c>
      <c r="D280" s="48">
        <v>2.01</v>
      </c>
      <c r="E280" s="48">
        <v>2.02</v>
      </c>
      <c r="F280" s="48">
        <v>2.03</v>
      </c>
      <c r="G280" s="48">
        <v>2.05</v>
      </c>
      <c r="H280" s="48">
        <v>2.06</v>
      </c>
      <c r="I280" s="48">
        <v>2.07</v>
      </c>
      <c r="J280" s="48">
        <v>2.09</v>
      </c>
      <c r="K280" s="48">
        <v>2.1</v>
      </c>
      <c r="L280" s="48">
        <v>2.12</v>
      </c>
      <c r="M280" s="48">
        <v>2.13</v>
      </c>
      <c r="N280" s="48">
        <v>2.15</v>
      </c>
      <c r="O280" s="48">
        <v>2.17</v>
      </c>
      <c r="P280" s="48">
        <v>2.18</v>
      </c>
      <c r="Q280" s="48">
        <v>2.2</v>
      </c>
    </row>
    <row r="281" ht="14.25" customHeight="1">
      <c r="A281" s="40" t="s">
        <v>84</v>
      </c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4"/>
    </row>
    <row r="282" ht="14.25" customHeight="1">
      <c r="A282" s="41" t="s">
        <v>121</v>
      </c>
      <c r="B282" s="42">
        <v>3847064.0</v>
      </c>
      <c r="C282" s="42">
        <v>3815113.0</v>
      </c>
      <c r="D282" s="42">
        <v>3781992.0</v>
      </c>
      <c r="E282" s="42">
        <v>3747833.0</v>
      </c>
      <c r="F282" s="42">
        <v>3712468.0</v>
      </c>
      <c r="G282" s="42">
        <v>3675949.0</v>
      </c>
      <c r="H282" s="42">
        <v>3638069.0</v>
      </c>
      <c r="I282" s="42">
        <v>3597443.0</v>
      </c>
      <c r="J282" s="42">
        <v>3554078.0</v>
      </c>
      <c r="K282" s="42">
        <v>3506908.0</v>
      </c>
      <c r="L282" s="42">
        <v>3455196.0</v>
      </c>
      <c r="M282" s="42">
        <v>3397741.0</v>
      </c>
      <c r="N282" s="42">
        <v>3335779.0</v>
      </c>
      <c r="O282" s="42">
        <v>3269457.0</v>
      </c>
      <c r="P282" s="42">
        <v>3199716.0</v>
      </c>
      <c r="Q282" s="42">
        <v>3129957.0</v>
      </c>
    </row>
    <row r="283" ht="14.25" customHeight="1">
      <c r="A283" s="41" t="s">
        <v>122</v>
      </c>
      <c r="B283" s="42">
        <v>1206480.0</v>
      </c>
      <c r="C283" s="42">
        <v>1185264.0</v>
      </c>
      <c r="D283" s="42">
        <v>1163325.0</v>
      </c>
      <c r="E283" s="42">
        <v>1141056.0</v>
      </c>
      <c r="F283" s="42">
        <v>1118307.0</v>
      </c>
      <c r="G283" s="42">
        <v>1095315.0</v>
      </c>
      <c r="H283" s="42">
        <v>1072078.0</v>
      </c>
      <c r="I283" s="42">
        <v>1047894.0</v>
      </c>
      <c r="J283" s="42">
        <v>1023380.0</v>
      </c>
      <c r="K283" s="42">
        <v>998063.0</v>
      </c>
      <c r="L283" s="42">
        <v>971579.0</v>
      </c>
      <c r="M283" s="42">
        <v>943334.0</v>
      </c>
      <c r="N283" s="42">
        <v>914999.0</v>
      </c>
      <c r="O283" s="42">
        <v>886387.0</v>
      </c>
      <c r="P283" s="42">
        <v>856956.0</v>
      </c>
      <c r="Q283" s="42">
        <v>828188.0</v>
      </c>
    </row>
    <row r="284" ht="14.25" customHeight="1">
      <c r="A284" s="41" t="s">
        <v>123</v>
      </c>
      <c r="B284" s="42">
        <v>1233919.0</v>
      </c>
      <c r="C284" s="42">
        <v>1219223.0</v>
      </c>
      <c r="D284" s="42">
        <v>1203722.0</v>
      </c>
      <c r="E284" s="42">
        <v>1187378.0</v>
      </c>
      <c r="F284" s="42">
        <v>1170383.0</v>
      </c>
      <c r="G284" s="42">
        <v>1152940.0</v>
      </c>
      <c r="H284" s="42">
        <v>1135339.0</v>
      </c>
      <c r="I284" s="42">
        <v>1116799.0</v>
      </c>
      <c r="J284" s="42">
        <v>1097441.0</v>
      </c>
      <c r="K284" s="42">
        <v>1076990.0</v>
      </c>
      <c r="L284" s="42">
        <v>1055568.0</v>
      </c>
      <c r="M284" s="42">
        <v>1032645.0</v>
      </c>
      <c r="N284" s="42">
        <v>1008438.0</v>
      </c>
      <c r="O284" s="42">
        <v>983176.0</v>
      </c>
      <c r="P284" s="42">
        <v>957338.0</v>
      </c>
      <c r="Q284" s="42">
        <v>931444.0</v>
      </c>
    </row>
    <row r="285" ht="14.25" customHeight="1">
      <c r="A285" s="41" t="s">
        <v>124</v>
      </c>
      <c r="B285" s="42">
        <v>661545.0</v>
      </c>
      <c r="C285" s="42">
        <v>663193.0</v>
      </c>
      <c r="D285" s="42">
        <v>664811.0</v>
      </c>
      <c r="E285" s="42">
        <v>666331.0</v>
      </c>
      <c r="F285" s="42">
        <v>667679.0</v>
      </c>
      <c r="G285" s="42">
        <v>668722.0</v>
      </c>
      <c r="H285" s="42">
        <v>669330.0</v>
      </c>
      <c r="I285" s="42">
        <v>669363.0</v>
      </c>
      <c r="J285" s="42">
        <v>668583.0</v>
      </c>
      <c r="K285" s="42">
        <v>666833.0</v>
      </c>
      <c r="L285" s="42">
        <v>663983.0</v>
      </c>
      <c r="M285" s="42">
        <v>659897.0</v>
      </c>
      <c r="N285" s="42">
        <v>654456.0</v>
      </c>
      <c r="O285" s="42">
        <v>647627.0</v>
      </c>
      <c r="P285" s="42">
        <v>639914.0</v>
      </c>
      <c r="Q285" s="42">
        <v>631897.0</v>
      </c>
    </row>
    <row r="286" ht="14.25" customHeight="1">
      <c r="A286" s="41" t="s">
        <v>125</v>
      </c>
      <c r="B286" s="42">
        <v>745120.0</v>
      </c>
      <c r="C286" s="42">
        <v>747433.0</v>
      </c>
      <c r="D286" s="42">
        <v>750134.0</v>
      </c>
      <c r="E286" s="42">
        <v>753068.0</v>
      </c>
      <c r="F286" s="42">
        <v>756099.0</v>
      </c>
      <c r="G286" s="42">
        <v>758972.0</v>
      </c>
      <c r="H286" s="42">
        <v>761322.0</v>
      </c>
      <c r="I286" s="42">
        <v>763387.0</v>
      </c>
      <c r="J286" s="42">
        <v>764674.0</v>
      </c>
      <c r="K286" s="42">
        <v>765022.0</v>
      </c>
      <c r="L286" s="42">
        <v>764066.0</v>
      </c>
      <c r="M286" s="42">
        <v>761865.0</v>
      </c>
      <c r="N286" s="42">
        <v>757886.0</v>
      </c>
      <c r="O286" s="42">
        <v>752267.0</v>
      </c>
      <c r="P286" s="42">
        <v>745508.0</v>
      </c>
      <c r="Q286" s="42">
        <v>738428.0</v>
      </c>
    </row>
    <row r="287" ht="14.25" customHeight="1">
      <c r="A287" s="41" t="s">
        <v>126</v>
      </c>
      <c r="B287" s="48">
        <v>2.38</v>
      </c>
      <c r="C287" s="48">
        <v>2.38</v>
      </c>
      <c r="D287" s="48">
        <v>2.39</v>
      </c>
      <c r="E287" s="48">
        <v>2.41</v>
      </c>
      <c r="F287" s="48">
        <v>2.42</v>
      </c>
      <c r="G287" s="48">
        <v>2.43</v>
      </c>
      <c r="H287" s="48">
        <v>2.44</v>
      </c>
      <c r="I287" s="48">
        <v>2.45</v>
      </c>
      <c r="J287" s="48">
        <v>2.46</v>
      </c>
      <c r="K287" s="48">
        <v>2.47</v>
      </c>
      <c r="L287" s="48">
        <v>2.48</v>
      </c>
      <c r="M287" s="48">
        <v>2.49</v>
      </c>
      <c r="N287" s="48">
        <v>2.51</v>
      </c>
      <c r="O287" s="48">
        <v>2.52</v>
      </c>
      <c r="P287" s="48">
        <v>2.53</v>
      </c>
      <c r="Q287" s="48">
        <v>2.54</v>
      </c>
    </row>
    <row r="288" ht="14.25" customHeight="1">
      <c r="A288" s="40" t="s">
        <v>52</v>
      </c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4"/>
    </row>
    <row r="289" ht="14.25" customHeight="1">
      <c r="A289" s="41" t="s">
        <v>121</v>
      </c>
      <c r="B289" s="42">
        <v>220921.0</v>
      </c>
      <c r="C289" s="42">
        <v>218770.0</v>
      </c>
      <c r="D289" s="42">
        <v>216541.0</v>
      </c>
      <c r="E289" s="42">
        <v>214235.0</v>
      </c>
      <c r="F289" s="42">
        <v>211881.0</v>
      </c>
      <c r="G289" s="42">
        <v>209452.0</v>
      </c>
      <c r="H289" s="42">
        <v>206948.0</v>
      </c>
      <c r="I289" s="42">
        <v>204305.0</v>
      </c>
      <c r="J289" s="42">
        <v>201547.0</v>
      </c>
      <c r="K289" s="42">
        <v>198570.0</v>
      </c>
      <c r="L289" s="42">
        <v>195372.0</v>
      </c>
      <c r="M289" s="42">
        <v>191903.0</v>
      </c>
      <c r="N289" s="42">
        <v>188236.0</v>
      </c>
      <c r="O289" s="42">
        <v>184372.0</v>
      </c>
      <c r="P289" s="42">
        <v>180364.0</v>
      </c>
      <c r="Q289" s="42">
        <v>176350.0</v>
      </c>
    </row>
    <row r="290" ht="14.25" customHeight="1">
      <c r="A290" s="41" t="s">
        <v>122</v>
      </c>
      <c r="B290" s="42">
        <v>73226.0</v>
      </c>
      <c r="C290" s="42">
        <v>71926.0</v>
      </c>
      <c r="D290" s="42">
        <v>70573.0</v>
      </c>
      <c r="E290" s="42">
        <v>69183.0</v>
      </c>
      <c r="F290" s="42">
        <v>67775.0</v>
      </c>
      <c r="G290" s="42">
        <v>66336.0</v>
      </c>
      <c r="H290" s="42">
        <v>64876.0</v>
      </c>
      <c r="I290" s="42">
        <v>63362.0</v>
      </c>
      <c r="J290" s="42">
        <v>61856.0</v>
      </c>
      <c r="K290" s="42">
        <v>60270.0</v>
      </c>
      <c r="L290" s="42">
        <v>58630.0</v>
      </c>
      <c r="M290" s="42">
        <v>56905.0</v>
      </c>
      <c r="N290" s="42">
        <v>55188.0</v>
      </c>
      <c r="O290" s="42">
        <v>53462.0</v>
      </c>
      <c r="P290" s="42">
        <v>51708.0</v>
      </c>
      <c r="Q290" s="42">
        <v>49975.0</v>
      </c>
    </row>
    <row r="291" ht="14.25" customHeight="1">
      <c r="A291" s="41" t="s">
        <v>123</v>
      </c>
      <c r="B291" s="42">
        <v>67083.0</v>
      </c>
      <c r="C291" s="42">
        <v>66143.0</v>
      </c>
      <c r="D291" s="42">
        <v>65159.0</v>
      </c>
      <c r="E291" s="42">
        <v>64124.0</v>
      </c>
      <c r="F291" s="42">
        <v>63079.0</v>
      </c>
      <c r="G291" s="42">
        <v>62008.0</v>
      </c>
      <c r="H291" s="42">
        <v>60935.0</v>
      </c>
      <c r="I291" s="42">
        <v>59821.0</v>
      </c>
      <c r="J291" s="42">
        <v>58679.0</v>
      </c>
      <c r="K291" s="42">
        <v>57476.0</v>
      </c>
      <c r="L291" s="42">
        <v>56230.0</v>
      </c>
      <c r="M291" s="42">
        <v>54922.0</v>
      </c>
      <c r="N291" s="42">
        <v>53571.0</v>
      </c>
      <c r="O291" s="42">
        <v>52178.0</v>
      </c>
      <c r="P291" s="42">
        <v>50763.0</v>
      </c>
      <c r="Q291" s="42">
        <v>49342.0</v>
      </c>
    </row>
    <row r="292" ht="14.25" customHeight="1">
      <c r="A292" s="41" t="s">
        <v>124</v>
      </c>
      <c r="B292" s="42">
        <v>37819.0</v>
      </c>
      <c r="C292" s="42">
        <v>37841.0</v>
      </c>
      <c r="D292" s="42">
        <v>37858.0</v>
      </c>
      <c r="E292" s="42">
        <v>37869.0</v>
      </c>
      <c r="F292" s="42">
        <v>37864.0</v>
      </c>
      <c r="G292" s="42">
        <v>37843.0</v>
      </c>
      <c r="H292" s="42">
        <v>37796.0</v>
      </c>
      <c r="I292" s="42">
        <v>37718.0</v>
      </c>
      <c r="J292" s="42">
        <v>37592.0</v>
      </c>
      <c r="K292" s="42">
        <v>37422.0</v>
      </c>
      <c r="L292" s="42">
        <v>37192.0</v>
      </c>
      <c r="M292" s="42">
        <v>36901.0</v>
      </c>
      <c r="N292" s="42">
        <v>36544.0</v>
      </c>
      <c r="O292" s="42">
        <v>36122.0</v>
      </c>
      <c r="P292" s="42">
        <v>35656.0</v>
      </c>
      <c r="Q292" s="42">
        <v>35182.0</v>
      </c>
    </row>
    <row r="293" ht="14.25" customHeight="1">
      <c r="A293" s="41" t="s">
        <v>125</v>
      </c>
      <c r="B293" s="42">
        <v>42793.0</v>
      </c>
      <c r="C293" s="42">
        <v>42860.0</v>
      </c>
      <c r="D293" s="42">
        <v>42951.0</v>
      </c>
      <c r="E293" s="42">
        <v>43059.0</v>
      </c>
      <c r="F293" s="42">
        <v>43163.0</v>
      </c>
      <c r="G293" s="42">
        <v>43265.0</v>
      </c>
      <c r="H293" s="42">
        <v>43341.0</v>
      </c>
      <c r="I293" s="42">
        <v>43404.0</v>
      </c>
      <c r="J293" s="42">
        <v>43420.0</v>
      </c>
      <c r="K293" s="42">
        <v>43402.0</v>
      </c>
      <c r="L293" s="42">
        <v>43320.0</v>
      </c>
      <c r="M293" s="42">
        <v>43175.0</v>
      </c>
      <c r="N293" s="42">
        <v>42933.0</v>
      </c>
      <c r="O293" s="42">
        <v>42610.0</v>
      </c>
      <c r="P293" s="42">
        <v>42237.0</v>
      </c>
      <c r="Q293" s="42">
        <v>41851.0</v>
      </c>
    </row>
    <row r="294" ht="14.25" customHeight="1">
      <c r="A294" s="41" t="s">
        <v>126</v>
      </c>
      <c r="B294" s="48">
        <v>2.38</v>
      </c>
      <c r="C294" s="48">
        <v>2.39</v>
      </c>
      <c r="D294" s="48">
        <v>2.4</v>
      </c>
      <c r="E294" s="48">
        <v>2.41</v>
      </c>
      <c r="F294" s="48">
        <v>2.42</v>
      </c>
      <c r="G294" s="48">
        <v>2.43</v>
      </c>
      <c r="H294" s="48">
        <v>2.44</v>
      </c>
      <c r="I294" s="48">
        <v>2.45</v>
      </c>
      <c r="J294" s="48">
        <v>2.46</v>
      </c>
      <c r="K294" s="48">
        <v>2.47</v>
      </c>
      <c r="L294" s="48">
        <v>2.48</v>
      </c>
      <c r="M294" s="48">
        <v>2.49</v>
      </c>
      <c r="N294" s="48">
        <v>2.5</v>
      </c>
      <c r="O294" s="48">
        <v>2.51</v>
      </c>
      <c r="P294" s="48">
        <v>2.52</v>
      </c>
      <c r="Q294" s="48">
        <v>2.53</v>
      </c>
    </row>
    <row r="295" ht="14.25" customHeight="1">
      <c r="A295" s="40" t="s">
        <v>53</v>
      </c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4"/>
    </row>
    <row r="296" ht="14.25" customHeight="1">
      <c r="A296" s="41" t="s">
        <v>121</v>
      </c>
      <c r="B296" s="42">
        <v>405752.0</v>
      </c>
      <c r="C296" s="42">
        <v>401361.0</v>
      </c>
      <c r="D296" s="42">
        <v>396842.0</v>
      </c>
      <c r="E296" s="42">
        <v>392257.0</v>
      </c>
      <c r="F296" s="42">
        <v>387527.0</v>
      </c>
      <c r="G296" s="42">
        <v>382685.0</v>
      </c>
      <c r="H296" s="42">
        <v>377700.0</v>
      </c>
      <c r="I296" s="42">
        <v>372426.0</v>
      </c>
      <c r="J296" s="42">
        <v>366840.0</v>
      </c>
      <c r="K296" s="42">
        <v>360834.0</v>
      </c>
      <c r="L296" s="42">
        <v>354381.0</v>
      </c>
      <c r="M296" s="42">
        <v>347329.0</v>
      </c>
      <c r="N296" s="42">
        <v>339836.0</v>
      </c>
      <c r="O296" s="42">
        <v>331862.0</v>
      </c>
      <c r="P296" s="42">
        <v>323565.0</v>
      </c>
      <c r="Q296" s="42">
        <v>315216.0</v>
      </c>
    </row>
    <row r="297" ht="14.25" customHeight="1">
      <c r="A297" s="41" t="s">
        <v>122</v>
      </c>
      <c r="B297" s="42">
        <v>128797.0</v>
      </c>
      <c r="C297" s="42">
        <v>126253.0</v>
      </c>
      <c r="D297" s="42">
        <v>123633.0</v>
      </c>
      <c r="E297" s="42">
        <v>121018.0</v>
      </c>
      <c r="F297" s="42">
        <v>118338.0</v>
      </c>
      <c r="G297" s="42">
        <v>115648.0</v>
      </c>
      <c r="H297" s="42">
        <v>112948.0</v>
      </c>
      <c r="I297" s="42">
        <v>110153.0</v>
      </c>
      <c r="J297" s="42">
        <v>107304.0</v>
      </c>
      <c r="K297" s="42">
        <v>104354.0</v>
      </c>
      <c r="L297" s="42">
        <v>101327.0</v>
      </c>
      <c r="M297" s="42">
        <v>98117.0</v>
      </c>
      <c r="N297" s="42">
        <v>94904.0</v>
      </c>
      <c r="O297" s="42">
        <v>91653.0</v>
      </c>
      <c r="P297" s="42">
        <v>88363.0</v>
      </c>
      <c r="Q297" s="42">
        <v>85080.0</v>
      </c>
    </row>
    <row r="298" ht="14.25" customHeight="1">
      <c r="A298" s="41" t="s">
        <v>123</v>
      </c>
      <c r="B298" s="42">
        <v>126924.0</v>
      </c>
      <c r="C298" s="42">
        <v>125035.0</v>
      </c>
      <c r="D298" s="42">
        <v>123067.0</v>
      </c>
      <c r="E298" s="42">
        <v>121047.0</v>
      </c>
      <c r="F298" s="42">
        <v>118954.0</v>
      </c>
      <c r="G298" s="42">
        <v>116822.0</v>
      </c>
      <c r="H298" s="42">
        <v>114655.0</v>
      </c>
      <c r="I298" s="42">
        <v>112385.0</v>
      </c>
      <c r="J298" s="42">
        <v>110022.0</v>
      </c>
      <c r="K298" s="42">
        <v>107532.0</v>
      </c>
      <c r="L298" s="42">
        <v>104931.0</v>
      </c>
      <c r="M298" s="42">
        <v>102179.0</v>
      </c>
      <c r="N298" s="42">
        <v>99340.0</v>
      </c>
      <c r="O298" s="42">
        <v>96352.0</v>
      </c>
      <c r="P298" s="42">
        <v>93294.0</v>
      </c>
      <c r="Q298" s="42">
        <v>90204.0</v>
      </c>
    </row>
    <row r="299" ht="14.25" customHeight="1">
      <c r="A299" s="41" t="s">
        <v>124</v>
      </c>
      <c r="B299" s="42">
        <v>67004.0</v>
      </c>
      <c r="C299" s="42">
        <v>67051.0</v>
      </c>
      <c r="D299" s="42">
        <v>67088.0</v>
      </c>
      <c r="E299" s="42">
        <v>67105.0</v>
      </c>
      <c r="F299" s="42">
        <v>67101.0</v>
      </c>
      <c r="G299" s="42">
        <v>67060.0</v>
      </c>
      <c r="H299" s="42">
        <v>66969.0</v>
      </c>
      <c r="I299" s="42">
        <v>66816.0</v>
      </c>
      <c r="J299" s="42">
        <v>66573.0</v>
      </c>
      <c r="K299" s="42">
        <v>66226.0</v>
      </c>
      <c r="L299" s="42">
        <v>65759.0</v>
      </c>
      <c r="M299" s="42">
        <v>65159.0</v>
      </c>
      <c r="N299" s="42">
        <v>64416.0</v>
      </c>
      <c r="O299" s="42">
        <v>63528.0</v>
      </c>
      <c r="P299" s="42">
        <v>62542.0</v>
      </c>
      <c r="Q299" s="42">
        <v>61527.0</v>
      </c>
    </row>
    <row r="300" ht="14.25" customHeight="1">
      <c r="A300" s="41" t="s">
        <v>125</v>
      </c>
      <c r="B300" s="42">
        <v>83027.0</v>
      </c>
      <c r="C300" s="42">
        <v>83022.0</v>
      </c>
      <c r="D300" s="42">
        <v>83054.0</v>
      </c>
      <c r="E300" s="42">
        <v>83087.0</v>
      </c>
      <c r="F300" s="42">
        <v>83134.0</v>
      </c>
      <c r="G300" s="42">
        <v>83155.0</v>
      </c>
      <c r="H300" s="42">
        <v>83128.0</v>
      </c>
      <c r="I300" s="42">
        <v>83072.0</v>
      </c>
      <c r="J300" s="42">
        <v>82941.0</v>
      </c>
      <c r="K300" s="42">
        <v>82722.0</v>
      </c>
      <c r="L300" s="42">
        <v>82364.0</v>
      </c>
      <c r="M300" s="42">
        <v>81874.0</v>
      </c>
      <c r="N300" s="42">
        <v>81176.0</v>
      </c>
      <c r="O300" s="42">
        <v>80329.0</v>
      </c>
      <c r="P300" s="42">
        <v>79366.0</v>
      </c>
      <c r="Q300" s="42">
        <v>78405.0</v>
      </c>
    </row>
    <row r="301" ht="14.25" customHeight="1">
      <c r="A301" s="41" t="s">
        <v>126</v>
      </c>
      <c r="B301" s="48">
        <v>2.45</v>
      </c>
      <c r="C301" s="48">
        <v>2.46</v>
      </c>
      <c r="D301" s="48">
        <v>2.47</v>
      </c>
      <c r="E301" s="48">
        <v>2.48</v>
      </c>
      <c r="F301" s="48">
        <v>2.49</v>
      </c>
      <c r="G301" s="48">
        <v>2.5</v>
      </c>
      <c r="H301" s="48">
        <v>2.51</v>
      </c>
      <c r="I301" s="48">
        <v>2.52</v>
      </c>
      <c r="J301" s="48">
        <v>2.53</v>
      </c>
      <c r="K301" s="48">
        <v>2.54</v>
      </c>
      <c r="L301" s="48">
        <v>2.55</v>
      </c>
      <c r="M301" s="48">
        <v>2.56</v>
      </c>
      <c r="N301" s="48">
        <v>2.57</v>
      </c>
      <c r="O301" s="48">
        <v>2.57</v>
      </c>
      <c r="P301" s="48">
        <v>2.58</v>
      </c>
      <c r="Q301" s="48">
        <v>2.59</v>
      </c>
    </row>
    <row r="302" ht="14.25" customHeight="1">
      <c r="A302" s="40" t="s">
        <v>54</v>
      </c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4"/>
    </row>
    <row r="303" ht="14.25" customHeight="1">
      <c r="A303" s="41" t="s">
        <v>121</v>
      </c>
      <c r="B303" s="42">
        <v>2771219.0</v>
      </c>
      <c r="C303" s="42">
        <v>2751193.0</v>
      </c>
      <c r="D303" s="42">
        <v>2730359.0</v>
      </c>
      <c r="E303" s="42">
        <v>2708752.0</v>
      </c>
      <c r="F303" s="42">
        <v>2686276.0</v>
      </c>
      <c r="G303" s="42">
        <v>2662925.0</v>
      </c>
      <c r="H303" s="42">
        <v>2638560.0</v>
      </c>
      <c r="I303" s="42">
        <v>2612202.0</v>
      </c>
      <c r="J303" s="42">
        <v>2583813.0</v>
      </c>
      <c r="K303" s="42">
        <v>2552649.0</v>
      </c>
      <c r="L303" s="42">
        <v>2518115.0</v>
      </c>
      <c r="M303" s="42">
        <v>2479262.0</v>
      </c>
      <c r="N303" s="42">
        <v>2437043.0</v>
      </c>
      <c r="O303" s="42">
        <v>2391589.0</v>
      </c>
      <c r="P303" s="42">
        <v>2343483.0</v>
      </c>
      <c r="Q303" s="42">
        <v>2295416.0</v>
      </c>
    </row>
    <row r="304" ht="14.25" customHeight="1">
      <c r="A304" s="41" t="s">
        <v>122</v>
      </c>
      <c r="B304" s="42">
        <v>854633.0</v>
      </c>
      <c r="C304" s="42">
        <v>840355.0</v>
      </c>
      <c r="D304" s="42">
        <v>825577.0</v>
      </c>
      <c r="E304" s="42">
        <v>810560.0</v>
      </c>
      <c r="F304" s="42">
        <v>795205.0</v>
      </c>
      <c r="G304" s="42">
        <v>779656.0</v>
      </c>
      <c r="H304" s="42">
        <v>763891.0</v>
      </c>
      <c r="I304" s="42">
        <v>747448.0</v>
      </c>
      <c r="J304" s="42">
        <v>730772.0</v>
      </c>
      <c r="K304" s="42">
        <v>713547.0</v>
      </c>
      <c r="L304" s="42">
        <v>695437.0</v>
      </c>
      <c r="M304" s="42">
        <v>675977.0</v>
      </c>
      <c r="N304" s="42">
        <v>656480.0</v>
      </c>
      <c r="O304" s="42">
        <v>636780.0</v>
      </c>
      <c r="P304" s="42">
        <v>616368.0</v>
      </c>
      <c r="Q304" s="42">
        <v>596500.0</v>
      </c>
    </row>
    <row r="305" ht="14.25" customHeight="1">
      <c r="A305" s="41" t="s">
        <v>123</v>
      </c>
      <c r="B305" s="42">
        <v>898571.0</v>
      </c>
      <c r="C305" s="42">
        <v>888930.0</v>
      </c>
      <c r="D305" s="42">
        <v>878715.0</v>
      </c>
      <c r="E305" s="42">
        <v>867813.0</v>
      </c>
      <c r="F305" s="42">
        <v>856405.0</v>
      </c>
      <c r="G305" s="42">
        <v>844628.0</v>
      </c>
      <c r="H305" s="42">
        <v>832743.0</v>
      </c>
      <c r="I305" s="42">
        <v>820184.0</v>
      </c>
      <c r="J305" s="42">
        <v>806984.0</v>
      </c>
      <c r="K305" s="42">
        <v>792979.0</v>
      </c>
      <c r="L305" s="42">
        <v>778274.0</v>
      </c>
      <c r="M305" s="42">
        <v>762416.0</v>
      </c>
      <c r="N305" s="42">
        <v>745534.0</v>
      </c>
      <c r="O305" s="42">
        <v>727888.0</v>
      </c>
      <c r="P305" s="42">
        <v>709780.0</v>
      </c>
      <c r="Q305" s="42">
        <v>691651.0</v>
      </c>
    </row>
    <row r="306" ht="14.25" customHeight="1">
      <c r="A306" s="41" t="s">
        <v>124</v>
      </c>
      <c r="B306" s="42">
        <v>481448.0</v>
      </c>
      <c r="C306" s="42">
        <v>483161.0</v>
      </c>
      <c r="D306" s="42">
        <v>484866.0</v>
      </c>
      <c r="E306" s="42">
        <v>486517.0</v>
      </c>
      <c r="F306" s="42">
        <v>488065.0</v>
      </c>
      <c r="G306" s="42">
        <v>489399.0</v>
      </c>
      <c r="H306" s="42">
        <v>490423.0</v>
      </c>
      <c r="I306" s="42">
        <v>491033.0</v>
      </c>
      <c r="J306" s="42">
        <v>491055.0</v>
      </c>
      <c r="K306" s="42">
        <v>490366.0</v>
      </c>
      <c r="L306" s="42">
        <v>488868.0</v>
      </c>
      <c r="M306" s="42">
        <v>486464.0</v>
      </c>
      <c r="N306" s="42">
        <v>483041.0</v>
      </c>
      <c r="O306" s="42">
        <v>478583.0</v>
      </c>
      <c r="P306" s="42">
        <v>473482.0</v>
      </c>
      <c r="Q306" s="42">
        <v>468144.0</v>
      </c>
    </row>
    <row r="307" ht="14.25" customHeight="1">
      <c r="A307" s="41" t="s">
        <v>125</v>
      </c>
      <c r="B307" s="42">
        <v>536567.0</v>
      </c>
      <c r="C307" s="42">
        <v>538747.0</v>
      </c>
      <c r="D307" s="42">
        <v>541201.0</v>
      </c>
      <c r="E307" s="42">
        <v>543862.0</v>
      </c>
      <c r="F307" s="42">
        <v>546601.0</v>
      </c>
      <c r="G307" s="42">
        <v>549242.0</v>
      </c>
      <c r="H307" s="42">
        <v>551503.0</v>
      </c>
      <c r="I307" s="42">
        <v>553537.0</v>
      </c>
      <c r="J307" s="42">
        <v>555002.0</v>
      </c>
      <c r="K307" s="42">
        <v>555757.0</v>
      </c>
      <c r="L307" s="42">
        <v>555536.0</v>
      </c>
      <c r="M307" s="42">
        <v>554405.0</v>
      </c>
      <c r="N307" s="42">
        <v>551988.0</v>
      </c>
      <c r="O307" s="42">
        <v>548338.0</v>
      </c>
      <c r="P307" s="42">
        <v>543853.0</v>
      </c>
      <c r="Q307" s="42">
        <v>539121.0</v>
      </c>
    </row>
    <row r="308" ht="14.25" customHeight="1">
      <c r="A308" s="41" t="s">
        <v>126</v>
      </c>
      <c r="B308" s="48">
        <v>2.37</v>
      </c>
      <c r="C308" s="48">
        <v>2.38</v>
      </c>
      <c r="D308" s="48">
        <v>2.39</v>
      </c>
      <c r="E308" s="48">
        <v>2.4</v>
      </c>
      <c r="F308" s="48">
        <v>2.41</v>
      </c>
      <c r="G308" s="48">
        <v>2.43</v>
      </c>
      <c r="H308" s="48">
        <v>2.44</v>
      </c>
      <c r="I308" s="48">
        <v>2.45</v>
      </c>
      <c r="J308" s="48">
        <v>2.46</v>
      </c>
      <c r="K308" s="48">
        <v>2.47</v>
      </c>
      <c r="L308" s="48">
        <v>2.48</v>
      </c>
      <c r="M308" s="48">
        <v>2.49</v>
      </c>
      <c r="N308" s="48">
        <v>2.5</v>
      </c>
      <c r="O308" s="48">
        <v>2.51</v>
      </c>
      <c r="P308" s="48">
        <v>2.52</v>
      </c>
      <c r="Q308" s="48">
        <v>2.53</v>
      </c>
    </row>
    <row r="309" ht="14.25" customHeight="1">
      <c r="A309" s="40" t="s">
        <v>55</v>
      </c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4"/>
    </row>
    <row r="310" ht="14.25" customHeight="1">
      <c r="A310" s="41" t="s">
        <v>121</v>
      </c>
      <c r="B310" s="42">
        <v>449172.0</v>
      </c>
      <c r="C310" s="42">
        <v>443789.0</v>
      </c>
      <c r="D310" s="42">
        <v>438250.0</v>
      </c>
      <c r="E310" s="42">
        <v>432589.0</v>
      </c>
      <c r="F310" s="42">
        <v>426784.0</v>
      </c>
      <c r="G310" s="42">
        <v>420887.0</v>
      </c>
      <c r="H310" s="42">
        <v>414861.0</v>
      </c>
      <c r="I310" s="42">
        <v>408510.0</v>
      </c>
      <c r="J310" s="42">
        <v>401878.0</v>
      </c>
      <c r="K310" s="42">
        <v>394855.0</v>
      </c>
      <c r="L310" s="42">
        <v>387328.0</v>
      </c>
      <c r="M310" s="42">
        <v>379247.0</v>
      </c>
      <c r="N310" s="42">
        <v>370664.0</v>
      </c>
      <c r="O310" s="42">
        <v>361634.0</v>
      </c>
      <c r="P310" s="42">
        <v>352304.0</v>
      </c>
      <c r="Q310" s="42">
        <v>342975.0</v>
      </c>
    </row>
    <row r="311" ht="14.25" customHeight="1">
      <c r="A311" s="41" t="s">
        <v>122</v>
      </c>
      <c r="B311" s="42">
        <v>149824.0</v>
      </c>
      <c r="C311" s="42">
        <v>146730.0</v>
      </c>
      <c r="D311" s="42">
        <v>143542.0</v>
      </c>
      <c r="E311" s="42">
        <v>140295.0</v>
      </c>
      <c r="F311" s="42">
        <v>136989.0</v>
      </c>
      <c r="G311" s="42">
        <v>133675.0</v>
      </c>
      <c r="H311" s="42">
        <v>130363.0</v>
      </c>
      <c r="I311" s="42">
        <v>126931.0</v>
      </c>
      <c r="J311" s="42">
        <v>123448.0</v>
      </c>
      <c r="K311" s="42">
        <v>119892.0</v>
      </c>
      <c r="L311" s="42">
        <v>116185.0</v>
      </c>
      <c r="M311" s="42">
        <v>112335.0</v>
      </c>
      <c r="N311" s="42">
        <v>108427.0</v>
      </c>
      <c r="O311" s="42">
        <v>104492.0</v>
      </c>
      <c r="P311" s="42">
        <v>100517.0</v>
      </c>
      <c r="Q311" s="42">
        <v>96633.0</v>
      </c>
    </row>
    <row r="312" ht="14.25" customHeight="1">
      <c r="A312" s="41" t="s">
        <v>123</v>
      </c>
      <c r="B312" s="42">
        <v>141341.0</v>
      </c>
      <c r="C312" s="42">
        <v>139115.0</v>
      </c>
      <c r="D312" s="42">
        <v>136781.0</v>
      </c>
      <c r="E312" s="42">
        <v>134394.0</v>
      </c>
      <c r="F312" s="42">
        <v>131945.0</v>
      </c>
      <c r="G312" s="42">
        <v>129482.0</v>
      </c>
      <c r="H312" s="42">
        <v>127006.0</v>
      </c>
      <c r="I312" s="42">
        <v>124409.0</v>
      </c>
      <c r="J312" s="42">
        <v>121756.0</v>
      </c>
      <c r="K312" s="42">
        <v>119003.0</v>
      </c>
      <c r="L312" s="42">
        <v>116133.0</v>
      </c>
      <c r="M312" s="42">
        <v>113128.0</v>
      </c>
      <c r="N312" s="42">
        <v>109993.0</v>
      </c>
      <c r="O312" s="42">
        <v>106758.0</v>
      </c>
      <c r="P312" s="42">
        <v>103501.0</v>
      </c>
      <c r="Q312" s="42">
        <v>100247.0</v>
      </c>
    </row>
    <row r="313" ht="14.25" customHeight="1">
      <c r="A313" s="41" t="s">
        <v>124</v>
      </c>
      <c r="B313" s="42">
        <v>75274.0</v>
      </c>
      <c r="C313" s="42">
        <v>75140.0</v>
      </c>
      <c r="D313" s="42">
        <v>74999.0</v>
      </c>
      <c r="E313" s="42">
        <v>74840.0</v>
      </c>
      <c r="F313" s="42">
        <v>74649.0</v>
      </c>
      <c r="G313" s="42">
        <v>74420.0</v>
      </c>
      <c r="H313" s="42">
        <v>74142.0</v>
      </c>
      <c r="I313" s="42">
        <v>73796.0</v>
      </c>
      <c r="J313" s="42">
        <v>73363.0</v>
      </c>
      <c r="K313" s="42">
        <v>72819.0</v>
      </c>
      <c r="L313" s="42">
        <v>72164.0</v>
      </c>
      <c r="M313" s="42">
        <v>71373.0</v>
      </c>
      <c r="N313" s="42">
        <v>70455.0</v>
      </c>
      <c r="O313" s="42">
        <v>69394.0</v>
      </c>
      <c r="P313" s="42">
        <v>68234.0</v>
      </c>
      <c r="Q313" s="42">
        <v>67044.0</v>
      </c>
    </row>
    <row r="314" ht="14.25" customHeight="1">
      <c r="A314" s="41" t="s">
        <v>125</v>
      </c>
      <c r="B314" s="42">
        <v>82733.0</v>
      </c>
      <c r="C314" s="42">
        <v>82804.0</v>
      </c>
      <c r="D314" s="42">
        <v>82928.0</v>
      </c>
      <c r="E314" s="42">
        <v>83060.0</v>
      </c>
      <c r="F314" s="42">
        <v>83201.0</v>
      </c>
      <c r="G314" s="42">
        <v>83310.0</v>
      </c>
      <c r="H314" s="42">
        <v>83350.0</v>
      </c>
      <c r="I314" s="42">
        <v>83374.0</v>
      </c>
      <c r="J314" s="42">
        <v>83311.0</v>
      </c>
      <c r="K314" s="42">
        <v>83141.0</v>
      </c>
      <c r="L314" s="42">
        <v>82846.0</v>
      </c>
      <c r="M314" s="42">
        <v>82411.0</v>
      </c>
      <c r="N314" s="42">
        <v>81789.0</v>
      </c>
      <c r="O314" s="42">
        <v>80990.0</v>
      </c>
      <c r="P314" s="42">
        <v>80052.0</v>
      </c>
      <c r="Q314" s="42">
        <v>79051.0</v>
      </c>
    </row>
    <row r="315" ht="14.25" customHeight="1">
      <c r="A315" s="41" t="s">
        <v>126</v>
      </c>
      <c r="B315" s="48">
        <v>2.32</v>
      </c>
      <c r="C315" s="48">
        <v>2.33</v>
      </c>
      <c r="D315" s="48">
        <v>2.34</v>
      </c>
      <c r="E315" s="48">
        <v>2.35</v>
      </c>
      <c r="F315" s="48">
        <v>2.36</v>
      </c>
      <c r="G315" s="48">
        <v>2.38</v>
      </c>
      <c r="H315" s="48">
        <v>2.39</v>
      </c>
      <c r="I315" s="48">
        <v>2.4</v>
      </c>
      <c r="J315" s="48">
        <v>2.41</v>
      </c>
      <c r="K315" s="48">
        <v>2.42</v>
      </c>
      <c r="L315" s="48">
        <v>2.44</v>
      </c>
      <c r="M315" s="48">
        <v>2.45</v>
      </c>
      <c r="N315" s="48">
        <v>2.46</v>
      </c>
      <c r="O315" s="48">
        <v>2.47</v>
      </c>
      <c r="P315" s="48">
        <v>2.48</v>
      </c>
      <c r="Q315" s="48">
        <v>2.5</v>
      </c>
    </row>
    <row r="316" ht="14.25" customHeight="1">
      <c r="A316" s="40" t="s">
        <v>85</v>
      </c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4"/>
    </row>
    <row r="317" ht="14.25" customHeight="1">
      <c r="A317" s="41" t="s">
        <v>121</v>
      </c>
      <c r="B317" s="42">
        <v>2692997.0</v>
      </c>
      <c r="C317" s="42">
        <v>2667355.0</v>
      </c>
      <c r="D317" s="42">
        <v>2640970.0</v>
      </c>
      <c r="E317" s="42">
        <v>2614147.0</v>
      </c>
      <c r="F317" s="42">
        <v>2586724.0</v>
      </c>
      <c r="G317" s="42">
        <v>2558549.0</v>
      </c>
      <c r="H317" s="42">
        <v>2529482.0</v>
      </c>
      <c r="I317" s="42">
        <v>2498376.0</v>
      </c>
      <c r="J317" s="42">
        <v>2465189.0</v>
      </c>
      <c r="K317" s="42">
        <v>2429149.0</v>
      </c>
      <c r="L317" s="42">
        <v>2389653.0</v>
      </c>
      <c r="M317" s="42">
        <v>2345807.0</v>
      </c>
      <c r="N317" s="42">
        <v>2298356.0</v>
      </c>
      <c r="O317" s="42">
        <v>2247763.0</v>
      </c>
      <c r="P317" s="42">
        <v>2194598.0</v>
      </c>
      <c r="Q317" s="42">
        <v>2140660.0</v>
      </c>
    </row>
    <row r="318" ht="14.25" customHeight="1">
      <c r="A318" s="41" t="s">
        <v>122</v>
      </c>
      <c r="B318" s="42">
        <v>888454.0</v>
      </c>
      <c r="C318" s="42">
        <v>872468.0</v>
      </c>
      <c r="D318" s="42">
        <v>856076.0</v>
      </c>
      <c r="E318" s="42">
        <v>839711.0</v>
      </c>
      <c r="F318" s="42">
        <v>823173.0</v>
      </c>
      <c r="G318" s="42">
        <v>806557.0</v>
      </c>
      <c r="H318" s="42">
        <v>789852.0</v>
      </c>
      <c r="I318" s="42">
        <v>772371.0</v>
      </c>
      <c r="J318" s="42">
        <v>754598.0</v>
      </c>
      <c r="K318" s="42">
        <v>736146.0</v>
      </c>
      <c r="L318" s="42">
        <v>716726.0</v>
      </c>
      <c r="M318" s="42">
        <v>695865.0</v>
      </c>
      <c r="N318" s="42">
        <v>674655.0</v>
      </c>
      <c r="O318" s="42">
        <v>653201.0</v>
      </c>
      <c r="P318" s="42">
        <v>631277.0</v>
      </c>
      <c r="Q318" s="42">
        <v>609311.0</v>
      </c>
    </row>
    <row r="319" ht="14.25" customHeight="1">
      <c r="A319" s="41" t="s">
        <v>123</v>
      </c>
      <c r="B319" s="42">
        <v>852887.0</v>
      </c>
      <c r="C319" s="42">
        <v>841702.0</v>
      </c>
      <c r="D319" s="42">
        <v>829942.0</v>
      </c>
      <c r="E319" s="42">
        <v>817706.0</v>
      </c>
      <c r="F319" s="42">
        <v>805228.0</v>
      </c>
      <c r="G319" s="42">
        <v>792364.0</v>
      </c>
      <c r="H319" s="42">
        <v>779401.0</v>
      </c>
      <c r="I319" s="42">
        <v>765768.0</v>
      </c>
      <c r="J319" s="42">
        <v>751382.0</v>
      </c>
      <c r="K319" s="42">
        <v>736130.0</v>
      </c>
      <c r="L319" s="42">
        <v>719997.0</v>
      </c>
      <c r="M319" s="42">
        <v>702639.0</v>
      </c>
      <c r="N319" s="42">
        <v>684153.0</v>
      </c>
      <c r="O319" s="42">
        <v>664985.0</v>
      </c>
      <c r="P319" s="42">
        <v>645301.0</v>
      </c>
      <c r="Q319" s="42">
        <v>625307.0</v>
      </c>
    </row>
    <row r="320" ht="14.25" customHeight="1">
      <c r="A320" s="41" t="s">
        <v>124</v>
      </c>
      <c r="B320" s="42">
        <v>460552.0</v>
      </c>
      <c r="C320" s="42">
        <v>461241.0</v>
      </c>
      <c r="D320" s="42">
        <v>461885.0</v>
      </c>
      <c r="E320" s="42">
        <v>462406.0</v>
      </c>
      <c r="F320" s="42">
        <v>462752.0</v>
      </c>
      <c r="G320" s="42">
        <v>462879.0</v>
      </c>
      <c r="H320" s="42">
        <v>462656.0</v>
      </c>
      <c r="I320" s="42">
        <v>462030.0</v>
      </c>
      <c r="J320" s="42">
        <v>460820.0</v>
      </c>
      <c r="K320" s="42">
        <v>458904.0</v>
      </c>
      <c r="L320" s="42">
        <v>456185.0</v>
      </c>
      <c r="M320" s="42">
        <v>452547.0</v>
      </c>
      <c r="N320" s="42">
        <v>447902.0</v>
      </c>
      <c r="O320" s="42">
        <v>442238.0</v>
      </c>
      <c r="P320" s="42">
        <v>435849.0</v>
      </c>
      <c r="Q320" s="42">
        <v>429203.0</v>
      </c>
    </row>
    <row r="321" ht="14.25" customHeight="1">
      <c r="A321" s="41" t="s">
        <v>125</v>
      </c>
      <c r="B321" s="42">
        <v>491104.0</v>
      </c>
      <c r="C321" s="42">
        <v>491944.0</v>
      </c>
      <c r="D321" s="42">
        <v>493067.0</v>
      </c>
      <c r="E321" s="42">
        <v>494324.0</v>
      </c>
      <c r="F321" s="42">
        <v>495571.0</v>
      </c>
      <c r="G321" s="42">
        <v>496749.0</v>
      </c>
      <c r="H321" s="42">
        <v>497573.0</v>
      </c>
      <c r="I321" s="42">
        <v>498207.0</v>
      </c>
      <c r="J321" s="42">
        <v>498389.0</v>
      </c>
      <c r="K321" s="42">
        <v>497969.0</v>
      </c>
      <c r="L321" s="42">
        <v>496745.0</v>
      </c>
      <c r="M321" s="42">
        <v>494756.0</v>
      </c>
      <c r="N321" s="42">
        <v>491646.0</v>
      </c>
      <c r="O321" s="42">
        <v>487339.0</v>
      </c>
      <c r="P321" s="42">
        <v>482171.0</v>
      </c>
      <c r="Q321" s="42">
        <v>476839.0</v>
      </c>
    </row>
    <row r="322" ht="14.25" customHeight="1">
      <c r="A322" s="41" t="s">
        <v>126</v>
      </c>
      <c r="B322" s="48">
        <v>2.33</v>
      </c>
      <c r="C322" s="48">
        <v>2.34</v>
      </c>
      <c r="D322" s="48">
        <v>2.35</v>
      </c>
      <c r="E322" s="48">
        <v>2.36</v>
      </c>
      <c r="F322" s="48">
        <v>2.37</v>
      </c>
      <c r="G322" s="48">
        <v>2.38</v>
      </c>
      <c r="H322" s="48">
        <v>2.39</v>
      </c>
      <c r="I322" s="48">
        <v>2.4</v>
      </c>
      <c r="J322" s="48">
        <v>2.41</v>
      </c>
      <c r="K322" s="48">
        <v>2.42</v>
      </c>
      <c r="L322" s="48">
        <v>2.43</v>
      </c>
      <c r="M322" s="48">
        <v>2.44</v>
      </c>
      <c r="N322" s="48">
        <v>2.44</v>
      </c>
      <c r="O322" s="48">
        <v>2.45</v>
      </c>
      <c r="P322" s="48">
        <v>2.46</v>
      </c>
      <c r="Q322" s="48">
        <v>2.47</v>
      </c>
    </row>
    <row r="323" ht="14.25" customHeight="1">
      <c r="A323" s="40" t="s">
        <v>56</v>
      </c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4"/>
    </row>
    <row r="324" ht="14.25" customHeight="1">
      <c r="A324" s="41" t="s">
        <v>121</v>
      </c>
      <c r="B324" s="42">
        <v>1322570.0</v>
      </c>
      <c r="C324" s="42">
        <v>1311290.0</v>
      </c>
      <c r="D324" s="42">
        <v>1299618.0</v>
      </c>
      <c r="E324" s="42">
        <v>1287764.0</v>
      </c>
      <c r="F324" s="42">
        <v>1275645.0</v>
      </c>
      <c r="G324" s="42">
        <v>1263226.0</v>
      </c>
      <c r="H324" s="42">
        <v>1250529.0</v>
      </c>
      <c r="I324" s="42">
        <v>1236911.0</v>
      </c>
      <c r="J324" s="42">
        <v>1222518.0</v>
      </c>
      <c r="K324" s="42">
        <v>1206947.0</v>
      </c>
      <c r="L324" s="42">
        <v>1189984.0</v>
      </c>
      <c r="M324" s="42">
        <v>1171258.0</v>
      </c>
      <c r="N324" s="42">
        <v>1151081.0</v>
      </c>
      <c r="O324" s="42">
        <v>1129782.0</v>
      </c>
      <c r="P324" s="42">
        <v>1107388.0</v>
      </c>
      <c r="Q324" s="42">
        <v>1084837.0</v>
      </c>
    </row>
    <row r="325" ht="14.25" customHeight="1">
      <c r="A325" s="41" t="s">
        <v>122</v>
      </c>
      <c r="B325" s="42">
        <v>431486.0</v>
      </c>
      <c r="C325" s="42">
        <v>424046.0</v>
      </c>
      <c r="D325" s="42">
        <v>416373.0</v>
      </c>
      <c r="E325" s="42">
        <v>408711.0</v>
      </c>
      <c r="F325" s="42">
        <v>400997.0</v>
      </c>
      <c r="G325" s="42">
        <v>393227.0</v>
      </c>
      <c r="H325" s="42">
        <v>385495.0</v>
      </c>
      <c r="I325" s="42">
        <v>377388.0</v>
      </c>
      <c r="J325" s="42">
        <v>369238.0</v>
      </c>
      <c r="K325" s="42">
        <v>360807.0</v>
      </c>
      <c r="L325" s="42">
        <v>351983.0</v>
      </c>
      <c r="M325" s="42">
        <v>342602.0</v>
      </c>
      <c r="N325" s="42">
        <v>333126.0</v>
      </c>
      <c r="O325" s="42">
        <v>323702.0</v>
      </c>
      <c r="P325" s="42">
        <v>314001.0</v>
      </c>
      <c r="Q325" s="42">
        <v>304397.0</v>
      </c>
    </row>
    <row r="326" ht="14.25" customHeight="1">
      <c r="A326" s="41" t="s">
        <v>123</v>
      </c>
      <c r="B326" s="42">
        <v>414164.0</v>
      </c>
      <c r="C326" s="42">
        <v>408984.0</v>
      </c>
      <c r="D326" s="42">
        <v>403505.0</v>
      </c>
      <c r="E326" s="42">
        <v>397834.0</v>
      </c>
      <c r="F326" s="42">
        <v>392008.0</v>
      </c>
      <c r="G326" s="42">
        <v>386069.0</v>
      </c>
      <c r="H326" s="42">
        <v>380159.0</v>
      </c>
      <c r="I326" s="42">
        <v>373923.0</v>
      </c>
      <c r="J326" s="42">
        <v>367421.0</v>
      </c>
      <c r="K326" s="42">
        <v>360588.0</v>
      </c>
      <c r="L326" s="42">
        <v>353464.0</v>
      </c>
      <c r="M326" s="42">
        <v>345847.0</v>
      </c>
      <c r="N326" s="42">
        <v>337777.0</v>
      </c>
      <c r="O326" s="42">
        <v>329521.0</v>
      </c>
      <c r="P326" s="42">
        <v>321077.0</v>
      </c>
      <c r="Q326" s="42">
        <v>312563.0</v>
      </c>
    </row>
    <row r="327" ht="14.25" customHeight="1">
      <c r="A327" s="41" t="s">
        <v>124</v>
      </c>
      <c r="B327" s="42">
        <v>230086.0</v>
      </c>
      <c r="C327" s="42">
        <v>230977.0</v>
      </c>
      <c r="D327" s="42">
        <v>231850.0</v>
      </c>
      <c r="E327" s="42">
        <v>232656.0</v>
      </c>
      <c r="F327" s="42">
        <v>233381.0</v>
      </c>
      <c r="G327" s="42">
        <v>234004.0</v>
      </c>
      <c r="H327" s="42">
        <v>234458.0</v>
      </c>
      <c r="I327" s="42">
        <v>234731.0</v>
      </c>
      <c r="J327" s="42">
        <v>234736.0</v>
      </c>
      <c r="K327" s="42">
        <v>234420.0</v>
      </c>
      <c r="L327" s="42">
        <v>233753.0</v>
      </c>
      <c r="M327" s="42">
        <v>232682.0</v>
      </c>
      <c r="N327" s="42">
        <v>231154.0</v>
      </c>
      <c r="O327" s="42">
        <v>229171.0</v>
      </c>
      <c r="P327" s="42">
        <v>226875.0</v>
      </c>
      <c r="Q327" s="42">
        <v>224451.0</v>
      </c>
    </row>
    <row r="328" ht="14.25" customHeight="1">
      <c r="A328" s="41" t="s">
        <v>125</v>
      </c>
      <c r="B328" s="42">
        <v>246834.0</v>
      </c>
      <c r="C328" s="42">
        <v>247283.0</v>
      </c>
      <c r="D328" s="42">
        <v>247890.0</v>
      </c>
      <c r="E328" s="42">
        <v>248563.0</v>
      </c>
      <c r="F328" s="42">
        <v>249259.0</v>
      </c>
      <c r="G328" s="42">
        <v>249926.0</v>
      </c>
      <c r="H328" s="42">
        <v>250417.0</v>
      </c>
      <c r="I328" s="42">
        <v>250869.0</v>
      </c>
      <c r="J328" s="42">
        <v>251123.0</v>
      </c>
      <c r="K328" s="42">
        <v>251132.0</v>
      </c>
      <c r="L328" s="42">
        <v>250784.0</v>
      </c>
      <c r="M328" s="42">
        <v>250127.0</v>
      </c>
      <c r="N328" s="42">
        <v>249024.0</v>
      </c>
      <c r="O328" s="42">
        <v>247388.0</v>
      </c>
      <c r="P328" s="42">
        <v>245435.0</v>
      </c>
      <c r="Q328" s="42">
        <v>243426.0</v>
      </c>
    </row>
    <row r="329" ht="14.25" customHeight="1">
      <c r="A329" s="41" t="s">
        <v>126</v>
      </c>
      <c r="B329" s="48">
        <v>2.35</v>
      </c>
      <c r="C329" s="48">
        <v>2.36</v>
      </c>
      <c r="D329" s="48">
        <v>2.37</v>
      </c>
      <c r="E329" s="48">
        <v>2.38</v>
      </c>
      <c r="F329" s="48">
        <v>2.39</v>
      </c>
      <c r="G329" s="48">
        <v>2.4</v>
      </c>
      <c r="H329" s="48">
        <v>2.41</v>
      </c>
      <c r="I329" s="48">
        <v>2.42</v>
      </c>
      <c r="J329" s="48">
        <v>2.43</v>
      </c>
      <c r="K329" s="48">
        <v>2.43</v>
      </c>
      <c r="L329" s="48">
        <v>2.44</v>
      </c>
      <c r="M329" s="48">
        <v>2.45</v>
      </c>
      <c r="N329" s="48">
        <v>2.46</v>
      </c>
      <c r="O329" s="48">
        <v>2.47</v>
      </c>
      <c r="P329" s="48">
        <v>2.47</v>
      </c>
      <c r="Q329" s="48">
        <v>2.48</v>
      </c>
    </row>
    <row r="330" ht="14.25" customHeight="1">
      <c r="A330" s="40" t="s">
        <v>57</v>
      </c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4"/>
    </row>
    <row r="331" ht="14.25" customHeight="1">
      <c r="A331" s="41" t="s">
        <v>121</v>
      </c>
      <c r="B331" s="42">
        <v>1050828.0</v>
      </c>
      <c r="C331" s="42">
        <v>1040029.0</v>
      </c>
      <c r="D331" s="42">
        <v>1028969.0</v>
      </c>
      <c r="E331" s="42">
        <v>1017707.0</v>
      </c>
      <c r="F331" s="42">
        <v>1006156.0</v>
      </c>
      <c r="G331" s="42">
        <v>994220.0</v>
      </c>
      <c r="H331" s="42">
        <v>981731.0</v>
      </c>
      <c r="I331" s="42">
        <v>968314.0</v>
      </c>
      <c r="J331" s="42">
        <v>953752.0</v>
      </c>
      <c r="K331" s="42">
        <v>937741.0</v>
      </c>
      <c r="L331" s="42">
        <v>919995.0</v>
      </c>
      <c r="M331" s="42">
        <v>900053.0</v>
      </c>
      <c r="N331" s="42">
        <v>878201.0</v>
      </c>
      <c r="O331" s="42">
        <v>854553.0</v>
      </c>
      <c r="P331" s="42">
        <v>829577.0</v>
      </c>
      <c r="Q331" s="42">
        <v>803981.0</v>
      </c>
    </row>
    <row r="332" ht="14.25" customHeight="1">
      <c r="A332" s="41" t="s">
        <v>122</v>
      </c>
      <c r="B332" s="42">
        <v>347322.0</v>
      </c>
      <c r="C332" s="42">
        <v>340791.0</v>
      </c>
      <c r="D332" s="42">
        <v>334142.0</v>
      </c>
      <c r="E332" s="42">
        <v>327509.0</v>
      </c>
      <c r="F332" s="42">
        <v>320796.0</v>
      </c>
      <c r="G332" s="42">
        <v>314064.0</v>
      </c>
      <c r="H332" s="42">
        <v>307202.0</v>
      </c>
      <c r="I332" s="42">
        <v>300037.0</v>
      </c>
      <c r="J332" s="42">
        <v>292633.0</v>
      </c>
      <c r="K332" s="42">
        <v>284879.0</v>
      </c>
      <c r="L332" s="42">
        <v>276678.0</v>
      </c>
      <c r="M332" s="42">
        <v>267747.0</v>
      </c>
      <c r="N332" s="42">
        <v>258518.0</v>
      </c>
      <c r="O332" s="42">
        <v>249019.0</v>
      </c>
      <c r="P332" s="42">
        <v>239335.0</v>
      </c>
      <c r="Q332" s="42">
        <v>229502.0</v>
      </c>
    </row>
    <row r="333" ht="14.25" customHeight="1">
      <c r="A333" s="41" t="s">
        <v>123</v>
      </c>
      <c r="B333" s="42">
        <v>338803.0</v>
      </c>
      <c r="C333" s="42">
        <v>334331.0</v>
      </c>
      <c r="D333" s="42">
        <v>329644.0</v>
      </c>
      <c r="E333" s="42">
        <v>324744.0</v>
      </c>
      <c r="F333" s="42">
        <v>319732.0</v>
      </c>
      <c r="G333" s="42">
        <v>314492.0</v>
      </c>
      <c r="H333" s="42">
        <v>309120.0</v>
      </c>
      <c r="I333" s="42">
        <v>303449.0</v>
      </c>
      <c r="J333" s="42">
        <v>297350.0</v>
      </c>
      <c r="K333" s="42">
        <v>290776.0</v>
      </c>
      <c r="L333" s="42">
        <v>283696.0</v>
      </c>
      <c r="M333" s="42">
        <v>275992.0</v>
      </c>
      <c r="N333" s="42">
        <v>267709.0</v>
      </c>
      <c r="O333" s="42">
        <v>258928.0</v>
      </c>
      <c r="P333" s="42">
        <v>249824.0</v>
      </c>
      <c r="Q333" s="42">
        <v>240456.0</v>
      </c>
    </row>
    <row r="334" ht="14.25" customHeight="1">
      <c r="A334" s="41" t="s">
        <v>124</v>
      </c>
      <c r="B334" s="42">
        <v>176058.0</v>
      </c>
      <c r="C334" s="42">
        <v>175887.0</v>
      </c>
      <c r="D334" s="42">
        <v>175694.0</v>
      </c>
      <c r="E334" s="42">
        <v>175458.0</v>
      </c>
      <c r="F334" s="42">
        <v>175145.0</v>
      </c>
      <c r="G334" s="42">
        <v>174739.0</v>
      </c>
      <c r="H334" s="42">
        <v>174190.0</v>
      </c>
      <c r="I334" s="42">
        <v>173453.0</v>
      </c>
      <c r="J334" s="42">
        <v>172459.0</v>
      </c>
      <c r="K334" s="42">
        <v>171143.0</v>
      </c>
      <c r="L334" s="42">
        <v>169444.0</v>
      </c>
      <c r="M334" s="42">
        <v>167311.0</v>
      </c>
      <c r="N334" s="42">
        <v>164721.0</v>
      </c>
      <c r="O334" s="42">
        <v>161665.0</v>
      </c>
      <c r="P334" s="42">
        <v>158252.0</v>
      </c>
      <c r="Q334" s="42">
        <v>154729.0</v>
      </c>
    </row>
    <row r="335" ht="14.25" customHeight="1">
      <c r="A335" s="41" t="s">
        <v>125</v>
      </c>
      <c r="B335" s="42">
        <v>188645.0</v>
      </c>
      <c r="C335" s="42">
        <v>189020.0</v>
      </c>
      <c r="D335" s="42">
        <v>189489.0</v>
      </c>
      <c r="E335" s="42">
        <v>189996.0</v>
      </c>
      <c r="F335" s="42">
        <v>190483.0</v>
      </c>
      <c r="G335" s="42">
        <v>190925.0</v>
      </c>
      <c r="H335" s="42">
        <v>191219.0</v>
      </c>
      <c r="I335" s="42">
        <v>191375.0</v>
      </c>
      <c r="J335" s="42">
        <v>191310.0</v>
      </c>
      <c r="K335" s="42">
        <v>190943.0</v>
      </c>
      <c r="L335" s="42">
        <v>190177.0</v>
      </c>
      <c r="M335" s="42">
        <v>189003.0</v>
      </c>
      <c r="N335" s="42">
        <v>187253.0</v>
      </c>
      <c r="O335" s="42">
        <v>184941.0</v>
      </c>
      <c r="P335" s="42">
        <v>182166.0</v>
      </c>
      <c r="Q335" s="42">
        <v>179294.0</v>
      </c>
    </row>
    <row r="336" ht="14.25" customHeight="1">
      <c r="A336" s="41" t="s">
        <v>126</v>
      </c>
      <c r="B336" s="48">
        <v>2.32</v>
      </c>
      <c r="C336" s="48">
        <v>2.33</v>
      </c>
      <c r="D336" s="48">
        <v>2.34</v>
      </c>
      <c r="E336" s="48">
        <v>2.34</v>
      </c>
      <c r="F336" s="48">
        <v>2.35</v>
      </c>
      <c r="G336" s="48">
        <v>2.36</v>
      </c>
      <c r="H336" s="48">
        <v>2.37</v>
      </c>
      <c r="I336" s="48">
        <v>2.38</v>
      </c>
      <c r="J336" s="48">
        <v>2.39</v>
      </c>
      <c r="K336" s="48">
        <v>2.4</v>
      </c>
      <c r="L336" s="48">
        <v>2.42</v>
      </c>
      <c r="M336" s="48">
        <v>2.43</v>
      </c>
      <c r="N336" s="48">
        <v>2.44</v>
      </c>
      <c r="O336" s="48">
        <v>2.45</v>
      </c>
      <c r="P336" s="48">
        <v>2.46</v>
      </c>
      <c r="Q336" s="48">
        <v>2.47</v>
      </c>
    </row>
    <row r="337" ht="14.25" customHeight="1">
      <c r="A337" s="40" t="s">
        <v>58</v>
      </c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4"/>
    </row>
    <row r="338" ht="14.25" customHeight="1">
      <c r="A338" s="41" t="s">
        <v>121</v>
      </c>
      <c r="B338" s="42">
        <v>319599.0</v>
      </c>
      <c r="C338" s="42">
        <v>316036.0</v>
      </c>
      <c r="D338" s="42">
        <v>312383.0</v>
      </c>
      <c r="E338" s="42">
        <v>308676.0</v>
      </c>
      <c r="F338" s="42">
        <v>304923.0</v>
      </c>
      <c r="G338" s="42">
        <v>301103.0</v>
      </c>
      <c r="H338" s="42">
        <v>297222.0</v>
      </c>
      <c r="I338" s="42">
        <v>293151.0</v>
      </c>
      <c r="J338" s="42">
        <v>288919.0</v>
      </c>
      <c r="K338" s="42">
        <v>284461.0</v>
      </c>
      <c r="L338" s="42">
        <v>279674.0</v>
      </c>
      <c r="M338" s="42">
        <v>274496.0</v>
      </c>
      <c r="N338" s="42">
        <v>269074.0</v>
      </c>
      <c r="O338" s="42">
        <v>263428.0</v>
      </c>
      <c r="P338" s="42">
        <v>257633.0</v>
      </c>
      <c r="Q338" s="42">
        <v>251842.0</v>
      </c>
    </row>
    <row r="339" ht="14.25" customHeight="1">
      <c r="A339" s="41" t="s">
        <v>122</v>
      </c>
      <c r="B339" s="42">
        <v>109646.0</v>
      </c>
      <c r="C339" s="42">
        <v>107631.0</v>
      </c>
      <c r="D339" s="42">
        <v>105561.0</v>
      </c>
      <c r="E339" s="42">
        <v>103491.0</v>
      </c>
      <c r="F339" s="42">
        <v>101380.0</v>
      </c>
      <c r="G339" s="42">
        <v>99266.0</v>
      </c>
      <c r="H339" s="42">
        <v>97155.0</v>
      </c>
      <c r="I339" s="42">
        <v>94946.0</v>
      </c>
      <c r="J339" s="42">
        <v>92727.0</v>
      </c>
      <c r="K339" s="42">
        <v>90460.0</v>
      </c>
      <c r="L339" s="42">
        <v>88065.0</v>
      </c>
      <c r="M339" s="42">
        <v>85516.0</v>
      </c>
      <c r="N339" s="42">
        <v>83011.0</v>
      </c>
      <c r="O339" s="42">
        <v>80480.0</v>
      </c>
      <c r="P339" s="42">
        <v>77941.0</v>
      </c>
      <c r="Q339" s="42">
        <v>75412.0</v>
      </c>
    </row>
    <row r="340" ht="14.25" customHeight="1">
      <c r="A340" s="41" t="s">
        <v>123</v>
      </c>
      <c r="B340" s="42">
        <v>99920.0</v>
      </c>
      <c r="C340" s="42">
        <v>98387.0</v>
      </c>
      <c r="D340" s="42">
        <v>96793.0</v>
      </c>
      <c r="E340" s="42">
        <v>95128.0</v>
      </c>
      <c r="F340" s="42">
        <v>93488.0</v>
      </c>
      <c r="G340" s="42">
        <v>91803.0</v>
      </c>
      <c r="H340" s="42">
        <v>90122.0</v>
      </c>
      <c r="I340" s="42">
        <v>88396.0</v>
      </c>
      <c r="J340" s="42">
        <v>86611.0</v>
      </c>
      <c r="K340" s="42">
        <v>84766.0</v>
      </c>
      <c r="L340" s="42">
        <v>82837.0</v>
      </c>
      <c r="M340" s="42">
        <v>80800.0</v>
      </c>
      <c r="N340" s="42">
        <v>78667.0</v>
      </c>
      <c r="O340" s="42">
        <v>76536.0</v>
      </c>
      <c r="P340" s="42">
        <v>74400.0</v>
      </c>
      <c r="Q340" s="42">
        <v>72288.0</v>
      </c>
    </row>
    <row r="341" ht="14.25" customHeight="1">
      <c r="A341" s="41" t="s">
        <v>124</v>
      </c>
      <c r="B341" s="42">
        <v>54408.0</v>
      </c>
      <c r="C341" s="42">
        <v>54377.0</v>
      </c>
      <c r="D341" s="42">
        <v>54341.0</v>
      </c>
      <c r="E341" s="42">
        <v>54292.0</v>
      </c>
      <c r="F341" s="42">
        <v>54226.0</v>
      </c>
      <c r="G341" s="42">
        <v>54136.0</v>
      </c>
      <c r="H341" s="42">
        <v>54008.0</v>
      </c>
      <c r="I341" s="42">
        <v>53846.0</v>
      </c>
      <c r="J341" s="42">
        <v>53625.0</v>
      </c>
      <c r="K341" s="42">
        <v>53341.0</v>
      </c>
      <c r="L341" s="42">
        <v>52988.0</v>
      </c>
      <c r="M341" s="42">
        <v>52554.0</v>
      </c>
      <c r="N341" s="42">
        <v>52027.0</v>
      </c>
      <c r="O341" s="42">
        <v>51402.0</v>
      </c>
      <c r="P341" s="42">
        <v>50722.0</v>
      </c>
      <c r="Q341" s="42">
        <v>50023.0</v>
      </c>
    </row>
    <row r="342" ht="14.25" customHeight="1">
      <c r="A342" s="41" t="s">
        <v>125</v>
      </c>
      <c r="B342" s="42">
        <v>55625.0</v>
      </c>
      <c r="C342" s="42">
        <v>55641.0</v>
      </c>
      <c r="D342" s="42">
        <v>55688.0</v>
      </c>
      <c r="E342" s="42">
        <v>55765.0</v>
      </c>
      <c r="F342" s="42">
        <v>55829.0</v>
      </c>
      <c r="G342" s="42">
        <v>55898.0</v>
      </c>
      <c r="H342" s="42">
        <v>55937.0</v>
      </c>
      <c r="I342" s="42">
        <v>55963.0</v>
      </c>
      <c r="J342" s="42">
        <v>55956.0</v>
      </c>
      <c r="K342" s="42">
        <v>55894.0</v>
      </c>
      <c r="L342" s="42">
        <v>55784.0</v>
      </c>
      <c r="M342" s="42">
        <v>55626.0</v>
      </c>
      <c r="N342" s="42">
        <v>55369.0</v>
      </c>
      <c r="O342" s="42">
        <v>55010.0</v>
      </c>
      <c r="P342" s="42">
        <v>54570.0</v>
      </c>
      <c r="Q342" s="42">
        <v>54119.0</v>
      </c>
    </row>
    <row r="343" ht="14.25" customHeight="1">
      <c r="A343" s="41" t="s">
        <v>126</v>
      </c>
      <c r="B343" s="48">
        <v>2.3</v>
      </c>
      <c r="C343" s="48">
        <v>2.31</v>
      </c>
      <c r="D343" s="48">
        <v>2.32</v>
      </c>
      <c r="E343" s="48">
        <v>2.33</v>
      </c>
      <c r="F343" s="48">
        <v>2.34</v>
      </c>
      <c r="G343" s="48">
        <v>2.34</v>
      </c>
      <c r="H343" s="48">
        <v>2.35</v>
      </c>
      <c r="I343" s="48">
        <v>2.36</v>
      </c>
      <c r="J343" s="48">
        <v>2.37</v>
      </c>
      <c r="K343" s="48">
        <v>2.38</v>
      </c>
      <c r="L343" s="48">
        <v>2.39</v>
      </c>
      <c r="M343" s="48">
        <v>2.4</v>
      </c>
      <c r="N343" s="48">
        <v>2.41</v>
      </c>
      <c r="O343" s="48">
        <v>2.42</v>
      </c>
      <c r="P343" s="48">
        <v>2.42</v>
      </c>
      <c r="Q343" s="48">
        <v>2.43</v>
      </c>
    </row>
    <row r="344" ht="14.25" customHeight="1">
      <c r="A344" s="40" t="s">
        <v>86</v>
      </c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4"/>
    </row>
    <row r="345" ht="14.25" customHeight="1">
      <c r="A345" s="41" t="s">
        <v>121</v>
      </c>
      <c r="B345" s="42">
        <v>480957.0</v>
      </c>
      <c r="C345" s="42">
        <v>479435.0</v>
      </c>
      <c r="D345" s="42">
        <v>477783.0</v>
      </c>
      <c r="E345" s="42">
        <v>476023.0</v>
      </c>
      <c r="F345" s="42">
        <v>474204.0</v>
      </c>
      <c r="G345" s="42">
        <v>472293.0</v>
      </c>
      <c r="H345" s="42">
        <v>470296.0</v>
      </c>
      <c r="I345" s="42">
        <v>468027.0</v>
      </c>
      <c r="J345" s="42">
        <v>465615.0</v>
      </c>
      <c r="K345" s="42">
        <v>463106.0</v>
      </c>
      <c r="L345" s="42">
        <v>460279.0</v>
      </c>
      <c r="M345" s="42">
        <v>457105.0</v>
      </c>
      <c r="N345" s="42">
        <v>453865.0</v>
      </c>
      <c r="O345" s="42">
        <v>450562.0</v>
      </c>
      <c r="P345" s="42">
        <v>447048.0</v>
      </c>
      <c r="Q345" s="42">
        <v>443342.0</v>
      </c>
    </row>
    <row r="346" ht="14.25" customHeight="1">
      <c r="A346" s="41" t="s">
        <v>122</v>
      </c>
      <c r="B346" s="42">
        <v>184331.0</v>
      </c>
      <c r="C346" s="42">
        <v>181726.0</v>
      </c>
      <c r="D346" s="42">
        <v>179041.0</v>
      </c>
      <c r="E346" s="42">
        <v>176336.0</v>
      </c>
      <c r="F346" s="42">
        <v>173602.0</v>
      </c>
      <c r="G346" s="42">
        <v>170829.0</v>
      </c>
      <c r="H346" s="42">
        <v>168012.0</v>
      </c>
      <c r="I346" s="42">
        <v>164971.0</v>
      </c>
      <c r="J346" s="42">
        <v>161871.0</v>
      </c>
      <c r="K346" s="42">
        <v>158786.0</v>
      </c>
      <c r="L346" s="42">
        <v>155467.0</v>
      </c>
      <c r="M346" s="42">
        <v>151882.0</v>
      </c>
      <c r="N346" s="42">
        <v>148390.0</v>
      </c>
      <c r="O346" s="42">
        <v>144964.0</v>
      </c>
      <c r="P346" s="42">
        <v>141350.0</v>
      </c>
      <c r="Q346" s="42">
        <v>137606.0</v>
      </c>
    </row>
    <row r="347" ht="14.25" customHeight="1">
      <c r="A347" s="41" t="s">
        <v>123</v>
      </c>
      <c r="B347" s="42">
        <v>152897.0</v>
      </c>
      <c r="C347" s="42">
        <v>151856.0</v>
      </c>
      <c r="D347" s="42">
        <v>150715.0</v>
      </c>
      <c r="E347" s="42">
        <v>149406.0</v>
      </c>
      <c r="F347" s="42">
        <v>148067.0</v>
      </c>
      <c r="G347" s="42">
        <v>146647.0</v>
      </c>
      <c r="H347" s="42">
        <v>145172.0</v>
      </c>
      <c r="I347" s="42">
        <v>143587.0</v>
      </c>
      <c r="J347" s="42">
        <v>141927.0</v>
      </c>
      <c r="K347" s="42">
        <v>140212.0</v>
      </c>
      <c r="L347" s="42">
        <v>138395.0</v>
      </c>
      <c r="M347" s="42">
        <v>136483.0</v>
      </c>
      <c r="N347" s="42">
        <v>134508.0</v>
      </c>
      <c r="O347" s="42">
        <v>132493.0</v>
      </c>
      <c r="P347" s="42">
        <v>130454.0</v>
      </c>
      <c r="Q347" s="42">
        <v>128292.0</v>
      </c>
    </row>
    <row r="348" ht="14.25" customHeight="1">
      <c r="A348" s="41" t="s">
        <v>124</v>
      </c>
      <c r="B348" s="42">
        <v>77881.0</v>
      </c>
      <c r="C348" s="42">
        <v>78644.0</v>
      </c>
      <c r="D348" s="42">
        <v>79387.0</v>
      </c>
      <c r="E348" s="42">
        <v>80125.0</v>
      </c>
      <c r="F348" s="42">
        <v>80843.0</v>
      </c>
      <c r="G348" s="42">
        <v>81542.0</v>
      </c>
      <c r="H348" s="42">
        <v>82236.0</v>
      </c>
      <c r="I348" s="42">
        <v>82911.0</v>
      </c>
      <c r="J348" s="42">
        <v>83550.0</v>
      </c>
      <c r="K348" s="42">
        <v>84132.0</v>
      </c>
      <c r="L348" s="42">
        <v>84690.0</v>
      </c>
      <c r="M348" s="42">
        <v>85219.0</v>
      </c>
      <c r="N348" s="42">
        <v>85695.0</v>
      </c>
      <c r="O348" s="42">
        <v>86107.0</v>
      </c>
      <c r="P348" s="42">
        <v>86513.0</v>
      </c>
      <c r="Q348" s="42">
        <v>86917.0</v>
      </c>
    </row>
    <row r="349" ht="14.25" customHeight="1">
      <c r="A349" s="41" t="s">
        <v>125</v>
      </c>
      <c r="B349" s="42">
        <v>65848.0</v>
      </c>
      <c r="C349" s="42">
        <v>67209.0</v>
      </c>
      <c r="D349" s="42">
        <v>68640.0</v>
      </c>
      <c r="E349" s="42">
        <v>70156.0</v>
      </c>
      <c r="F349" s="42">
        <v>71692.0</v>
      </c>
      <c r="G349" s="42">
        <v>73275.0</v>
      </c>
      <c r="H349" s="42">
        <v>74876.0</v>
      </c>
      <c r="I349" s="42">
        <v>76558.0</v>
      </c>
      <c r="J349" s="42">
        <v>78267.0</v>
      </c>
      <c r="K349" s="42">
        <v>79976.0</v>
      </c>
      <c r="L349" s="42">
        <v>81727.0</v>
      </c>
      <c r="M349" s="42">
        <v>83521.0</v>
      </c>
      <c r="N349" s="42">
        <v>85272.0</v>
      </c>
      <c r="O349" s="42">
        <v>86998.0</v>
      </c>
      <c r="P349" s="42">
        <v>88731.0</v>
      </c>
      <c r="Q349" s="42">
        <v>90527.0</v>
      </c>
    </row>
    <row r="350" ht="14.25" customHeight="1">
      <c r="A350" s="41" t="s">
        <v>126</v>
      </c>
      <c r="B350" s="48">
        <v>2.1</v>
      </c>
      <c r="C350" s="48">
        <v>2.11</v>
      </c>
      <c r="D350" s="48">
        <v>2.13</v>
      </c>
      <c r="E350" s="48">
        <v>2.14</v>
      </c>
      <c r="F350" s="48">
        <v>2.16</v>
      </c>
      <c r="G350" s="48">
        <v>2.17</v>
      </c>
      <c r="H350" s="48">
        <v>2.19</v>
      </c>
      <c r="I350" s="48">
        <v>2.21</v>
      </c>
      <c r="J350" s="48">
        <v>2.22</v>
      </c>
      <c r="K350" s="48">
        <v>2.24</v>
      </c>
      <c r="L350" s="48">
        <v>2.26</v>
      </c>
      <c r="M350" s="48">
        <v>2.28</v>
      </c>
      <c r="N350" s="48">
        <v>2.3</v>
      </c>
      <c r="O350" s="48">
        <v>2.32</v>
      </c>
      <c r="P350" s="48">
        <v>2.34</v>
      </c>
      <c r="Q350" s="48">
        <v>2.36</v>
      </c>
    </row>
    <row r="351" ht="14.25" customHeight="1">
      <c r="A351" s="40" t="s">
        <v>59</v>
      </c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4"/>
    </row>
    <row r="352" ht="14.25" customHeight="1">
      <c r="A352" s="41" t="s">
        <v>121</v>
      </c>
      <c r="B352" s="42">
        <v>183034.0</v>
      </c>
      <c r="C352" s="42">
        <v>182540.0</v>
      </c>
      <c r="D352" s="42">
        <v>182010.0</v>
      </c>
      <c r="E352" s="42">
        <v>181452.0</v>
      </c>
      <c r="F352" s="42">
        <v>180877.0</v>
      </c>
      <c r="G352" s="42">
        <v>180280.0</v>
      </c>
      <c r="H352" s="42">
        <v>179650.0</v>
      </c>
      <c r="I352" s="42">
        <v>178944.0</v>
      </c>
      <c r="J352" s="42">
        <v>178175.0</v>
      </c>
      <c r="K352" s="42">
        <v>177386.0</v>
      </c>
      <c r="L352" s="42">
        <v>176485.0</v>
      </c>
      <c r="M352" s="42">
        <v>175454.0</v>
      </c>
      <c r="N352" s="42">
        <v>174417.0</v>
      </c>
      <c r="O352" s="42">
        <v>173320.0</v>
      </c>
      <c r="P352" s="42">
        <v>172161.0</v>
      </c>
      <c r="Q352" s="42">
        <v>170931.0</v>
      </c>
    </row>
    <row r="353" ht="14.25" customHeight="1">
      <c r="A353" s="41" t="s">
        <v>122</v>
      </c>
      <c r="B353" s="42">
        <v>75790.0</v>
      </c>
      <c r="C353" s="42">
        <v>74819.0</v>
      </c>
      <c r="D353" s="42">
        <v>73823.0</v>
      </c>
      <c r="E353" s="42">
        <v>72837.0</v>
      </c>
      <c r="F353" s="42">
        <v>71844.0</v>
      </c>
      <c r="G353" s="42">
        <v>70849.0</v>
      </c>
      <c r="H353" s="42">
        <v>69837.0</v>
      </c>
      <c r="I353" s="42">
        <v>68760.0</v>
      </c>
      <c r="J353" s="42">
        <v>67670.0</v>
      </c>
      <c r="K353" s="42">
        <v>66599.0</v>
      </c>
      <c r="L353" s="42">
        <v>65448.0</v>
      </c>
      <c r="M353" s="42">
        <v>64210.0</v>
      </c>
      <c r="N353" s="42">
        <v>63030.0</v>
      </c>
      <c r="O353" s="42">
        <v>61826.0</v>
      </c>
      <c r="P353" s="42">
        <v>60574.0</v>
      </c>
      <c r="Q353" s="42">
        <v>59279.0</v>
      </c>
    </row>
    <row r="354" ht="14.25" customHeight="1">
      <c r="A354" s="41" t="s">
        <v>123</v>
      </c>
      <c r="B354" s="42">
        <v>57042.0</v>
      </c>
      <c r="C354" s="42">
        <v>56792.0</v>
      </c>
      <c r="D354" s="42">
        <v>56518.0</v>
      </c>
      <c r="E354" s="42">
        <v>56179.0</v>
      </c>
      <c r="F354" s="42">
        <v>55836.0</v>
      </c>
      <c r="G354" s="42">
        <v>55463.0</v>
      </c>
      <c r="H354" s="42">
        <v>55068.0</v>
      </c>
      <c r="I354" s="42">
        <v>54651.0</v>
      </c>
      <c r="J354" s="42">
        <v>54182.0</v>
      </c>
      <c r="K354" s="42">
        <v>53704.0</v>
      </c>
      <c r="L354" s="42">
        <v>53192.0</v>
      </c>
      <c r="M354" s="42">
        <v>52633.0</v>
      </c>
      <c r="N354" s="42">
        <v>52055.0</v>
      </c>
      <c r="O354" s="42">
        <v>51459.0</v>
      </c>
      <c r="P354" s="42">
        <v>50857.0</v>
      </c>
      <c r="Q354" s="42">
        <v>50218.0</v>
      </c>
    </row>
    <row r="355" ht="14.25" customHeight="1">
      <c r="A355" s="41" t="s">
        <v>124</v>
      </c>
      <c r="B355" s="42">
        <v>27580.0</v>
      </c>
      <c r="C355" s="42">
        <v>27893.0</v>
      </c>
      <c r="D355" s="42">
        <v>28201.0</v>
      </c>
      <c r="E355" s="42">
        <v>28506.0</v>
      </c>
      <c r="F355" s="42">
        <v>28802.0</v>
      </c>
      <c r="G355" s="42">
        <v>29094.0</v>
      </c>
      <c r="H355" s="42">
        <v>29387.0</v>
      </c>
      <c r="I355" s="42">
        <v>29672.0</v>
      </c>
      <c r="J355" s="42">
        <v>29943.0</v>
      </c>
      <c r="K355" s="42">
        <v>30195.0</v>
      </c>
      <c r="L355" s="42">
        <v>30439.0</v>
      </c>
      <c r="M355" s="42">
        <v>30672.0</v>
      </c>
      <c r="N355" s="42">
        <v>30882.0</v>
      </c>
      <c r="O355" s="42">
        <v>31079.0</v>
      </c>
      <c r="P355" s="42">
        <v>31268.0</v>
      </c>
      <c r="Q355" s="42">
        <v>31454.0</v>
      </c>
    </row>
    <row r="356" ht="14.25" customHeight="1">
      <c r="A356" s="41" t="s">
        <v>125</v>
      </c>
      <c r="B356" s="42">
        <v>22622.0</v>
      </c>
      <c r="C356" s="42">
        <v>23036.0</v>
      </c>
      <c r="D356" s="42">
        <v>23468.0</v>
      </c>
      <c r="E356" s="42">
        <v>23930.0</v>
      </c>
      <c r="F356" s="42">
        <v>24395.0</v>
      </c>
      <c r="G356" s="42">
        <v>24874.0</v>
      </c>
      <c r="H356" s="42">
        <v>25358.0</v>
      </c>
      <c r="I356" s="42">
        <v>25861.0</v>
      </c>
      <c r="J356" s="42">
        <v>26380.0</v>
      </c>
      <c r="K356" s="42">
        <v>26888.0</v>
      </c>
      <c r="L356" s="42">
        <v>27406.0</v>
      </c>
      <c r="M356" s="42">
        <v>27939.0</v>
      </c>
      <c r="N356" s="42">
        <v>28450.0</v>
      </c>
      <c r="O356" s="42">
        <v>28956.0</v>
      </c>
      <c r="P356" s="42">
        <v>29462.0</v>
      </c>
      <c r="Q356" s="42">
        <v>29980.0</v>
      </c>
    </row>
    <row r="357" ht="14.25" customHeight="1">
      <c r="A357" s="41" t="s">
        <v>126</v>
      </c>
      <c r="B357" s="48">
        <v>2.04</v>
      </c>
      <c r="C357" s="48">
        <v>2.05</v>
      </c>
      <c r="D357" s="48">
        <v>2.06</v>
      </c>
      <c r="E357" s="48">
        <v>2.08</v>
      </c>
      <c r="F357" s="48">
        <v>2.09</v>
      </c>
      <c r="G357" s="48">
        <v>2.1</v>
      </c>
      <c r="H357" s="48">
        <v>2.11</v>
      </c>
      <c r="I357" s="48">
        <v>2.13</v>
      </c>
      <c r="J357" s="48">
        <v>2.14</v>
      </c>
      <c r="K357" s="48">
        <v>2.16</v>
      </c>
      <c r="L357" s="48">
        <v>2.17</v>
      </c>
      <c r="M357" s="48">
        <v>2.19</v>
      </c>
      <c r="N357" s="48">
        <v>2.2</v>
      </c>
      <c r="O357" s="48">
        <v>2.22</v>
      </c>
      <c r="P357" s="48">
        <v>2.23</v>
      </c>
      <c r="Q357" s="48">
        <v>2.25</v>
      </c>
    </row>
    <row r="358" ht="14.25" customHeight="1">
      <c r="A358" s="40" t="s">
        <v>60</v>
      </c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4"/>
    </row>
    <row r="359" ht="14.25" customHeight="1">
      <c r="A359" s="41" t="s">
        <v>121</v>
      </c>
      <c r="B359" s="42">
        <v>297923.0</v>
      </c>
      <c r="C359" s="42">
        <v>296895.0</v>
      </c>
      <c r="D359" s="42">
        <v>295773.0</v>
      </c>
      <c r="E359" s="42">
        <v>294571.0</v>
      </c>
      <c r="F359" s="42">
        <v>293327.0</v>
      </c>
      <c r="G359" s="42">
        <v>292013.0</v>
      </c>
      <c r="H359" s="42">
        <v>290646.0</v>
      </c>
      <c r="I359" s="42">
        <v>289083.0</v>
      </c>
      <c r="J359" s="42">
        <v>287440.0</v>
      </c>
      <c r="K359" s="42">
        <v>285720.0</v>
      </c>
      <c r="L359" s="42">
        <v>283794.0</v>
      </c>
      <c r="M359" s="42">
        <v>281651.0</v>
      </c>
      <c r="N359" s="42">
        <v>279448.0</v>
      </c>
      <c r="O359" s="42">
        <v>277242.0</v>
      </c>
      <c r="P359" s="42">
        <v>274887.0</v>
      </c>
      <c r="Q359" s="42">
        <v>272411.0</v>
      </c>
    </row>
    <row r="360" ht="14.25" customHeight="1">
      <c r="A360" s="41" t="s">
        <v>122</v>
      </c>
      <c r="B360" s="42">
        <v>108541.0</v>
      </c>
      <c r="C360" s="42">
        <v>106907.0</v>
      </c>
      <c r="D360" s="42">
        <v>105218.0</v>
      </c>
      <c r="E360" s="42">
        <v>103499.0</v>
      </c>
      <c r="F360" s="42">
        <v>101758.0</v>
      </c>
      <c r="G360" s="42">
        <v>99980.0</v>
      </c>
      <c r="H360" s="42">
        <v>98175.0</v>
      </c>
      <c r="I360" s="42">
        <v>96211.0</v>
      </c>
      <c r="J360" s="42">
        <v>94201.0</v>
      </c>
      <c r="K360" s="42">
        <v>92187.0</v>
      </c>
      <c r="L360" s="42">
        <v>90019.0</v>
      </c>
      <c r="M360" s="42">
        <v>87672.0</v>
      </c>
      <c r="N360" s="42">
        <v>85360.0</v>
      </c>
      <c r="O360" s="42">
        <v>83138.0</v>
      </c>
      <c r="P360" s="42">
        <v>80776.0</v>
      </c>
      <c r="Q360" s="42">
        <v>78327.0</v>
      </c>
    </row>
    <row r="361" ht="14.25" customHeight="1">
      <c r="A361" s="41" t="s">
        <v>123</v>
      </c>
      <c r="B361" s="42">
        <v>95855.0</v>
      </c>
      <c r="C361" s="42">
        <v>95064.0</v>
      </c>
      <c r="D361" s="42">
        <v>94197.0</v>
      </c>
      <c r="E361" s="42">
        <v>93227.0</v>
      </c>
      <c r="F361" s="42">
        <v>92231.0</v>
      </c>
      <c r="G361" s="42">
        <v>91184.0</v>
      </c>
      <c r="H361" s="42">
        <v>90104.0</v>
      </c>
      <c r="I361" s="42">
        <v>88936.0</v>
      </c>
      <c r="J361" s="42">
        <v>87745.0</v>
      </c>
      <c r="K361" s="42">
        <v>86508.0</v>
      </c>
      <c r="L361" s="42">
        <v>85203.0</v>
      </c>
      <c r="M361" s="42">
        <v>83850.0</v>
      </c>
      <c r="N361" s="42">
        <v>82453.0</v>
      </c>
      <c r="O361" s="42">
        <v>81034.0</v>
      </c>
      <c r="P361" s="42">
        <v>79597.0</v>
      </c>
      <c r="Q361" s="42">
        <v>78074.0</v>
      </c>
    </row>
    <row r="362" ht="14.25" customHeight="1">
      <c r="A362" s="41" t="s">
        <v>124</v>
      </c>
      <c r="B362" s="42">
        <v>50301.0</v>
      </c>
      <c r="C362" s="42">
        <v>50751.0</v>
      </c>
      <c r="D362" s="42">
        <v>51186.0</v>
      </c>
      <c r="E362" s="42">
        <v>51619.0</v>
      </c>
      <c r="F362" s="42">
        <v>52041.0</v>
      </c>
      <c r="G362" s="42">
        <v>52448.0</v>
      </c>
      <c r="H362" s="42">
        <v>52849.0</v>
      </c>
      <c r="I362" s="42">
        <v>53239.0</v>
      </c>
      <c r="J362" s="42">
        <v>53607.0</v>
      </c>
      <c r="K362" s="42">
        <v>53937.0</v>
      </c>
      <c r="L362" s="42">
        <v>54251.0</v>
      </c>
      <c r="M362" s="42">
        <v>54547.0</v>
      </c>
      <c r="N362" s="42">
        <v>54813.0</v>
      </c>
      <c r="O362" s="42">
        <v>55028.0</v>
      </c>
      <c r="P362" s="42">
        <v>55245.0</v>
      </c>
      <c r="Q362" s="42">
        <v>55463.0</v>
      </c>
    </row>
    <row r="363" ht="14.25" customHeight="1">
      <c r="A363" s="41" t="s">
        <v>125</v>
      </c>
      <c r="B363" s="42">
        <v>43226.0</v>
      </c>
      <c r="C363" s="42">
        <v>44173.0</v>
      </c>
      <c r="D363" s="42">
        <v>45172.0</v>
      </c>
      <c r="E363" s="42">
        <v>46226.0</v>
      </c>
      <c r="F363" s="42">
        <v>47297.0</v>
      </c>
      <c r="G363" s="42">
        <v>48401.0</v>
      </c>
      <c r="H363" s="42">
        <v>49518.0</v>
      </c>
      <c r="I363" s="42">
        <v>50697.0</v>
      </c>
      <c r="J363" s="42">
        <v>51887.0</v>
      </c>
      <c r="K363" s="42">
        <v>53088.0</v>
      </c>
      <c r="L363" s="42">
        <v>54321.0</v>
      </c>
      <c r="M363" s="42">
        <v>55582.0</v>
      </c>
      <c r="N363" s="42">
        <v>56822.0</v>
      </c>
      <c r="O363" s="42">
        <v>58042.0</v>
      </c>
      <c r="P363" s="42">
        <v>59269.0</v>
      </c>
      <c r="Q363" s="42">
        <v>60547.0</v>
      </c>
    </row>
    <row r="364" ht="14.25" customHeight="1">
      <c r="A364" s="41" t="s">
        <v>126</v>
      </c>
      <c r="B364" s="48">
        <v>2.14</v>
      </c>
      <c r="C364" s="48">
        <v>2.15</v>
      </c>
      <c r="D364" s="48">
        <v>2.17</v>
      </c>
      <c r="E364" s="48">
        <v>2.18</v>
      </c>
      <c r="F364" s="48">
        <v>2.2</v>
      </c>
      <c r="G364" s="48">
        <v>2.22</v>
      </c>
      <c r="H364" s="48">
        <v>2.24</v>
      </c>
      <c r="I364" s="48">
        <v>2.26</v>
      </c>
      <c r="J364" s="48">
        <v>2.28</v>
      </c>
      <c r="K364" s="48">
        <v>2.3</v>
      </c>
      <c r="L364" s="48">
        <v>2.32</v>
      </c>
      <c r="M364" s="48">
        <v>2.34</v>
      </c>
      <c r="N364" s="48">
        <v>2.36</v>
      </c>
      <c r="O364" s="48">
        <v>2.38</v>
      </c>
      <c r="P364" s="48">
        <v>2.41</v>
      </c>
      <c r="Q364" s="48">
        <v>2.43</v>
      </c>
    </row>
    <row r="365" ht="14.25" customHeight="1">
      <c r="A365" s="40" t="s">
        <v>87</v>
      </c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4"/>
    </row>
    <row r="366" ht="14.25" customHeight="1">
      <c r="A366" s="41" t="s">
        <v>121</v>
      </c>
      <c r="B366" s="42">
        <v>1237671.0</v>
      </c>
      <c r="C366" s="42">
        <v>1232817.0</v>
      </c>
      <c r="D366" s="42">
        <v>1227546.0</v>
      </c>
      <c r="E366" s="42">
        <v>1221952.0</v>
      </c>
      <c r="F366" s="42">
        <v>1216173.0</v>
      </c>
      <c r="G366" s="42">
        <v>1210258.0</v>
      </c>
      <c r="H366" s="42">
        <v>1204100.0</v>
      </c>
      <c r="I366" s="42">
        <v>1197321.0</v>
      </c>
      <c r="J366" s="42">
        <v>1190120.0</v>
      </c>
      <c r="K366" s="42">
        <v>1182263.0</v>
      </c>
      <c r="L366" s="42">
        <v>1173513.0</v>
      </c>
      <c r="M366" s="42">
        <v>1163884.0</v>
      </c>
      <c r="N366" s="42">
        <v>1153771.0</v>
      </c>
      <c r="O366" s="42">
        <v>1142964.0</v>
      </c>
      <c r="P366" s="42">
        <v>1131660.0</v>
      </c>
      <c r="Q366" s="42">
        <v>1120110.0</v>
      </c>
    </row>
    <row r="367" ht="14.25" customHeight="1">
      <c r="A367" s="41" t="s">
        <v>122</v>
      </c>
      <c r="B367" s="42">
        <v>463925.0</v>
      </c>
      <c r="C367" s="42">
        <v>457547.0</v>
      </c>
      <c r="D367" s="42">
        <v>450792.0</v>
      </c>
      <c r="E367" s="42">
        <v>443751.0</v>
      </c>
      <c r="F367" s="42">
        <v>436613.0</v>
      </c>
      <c r="G367" s="42">
        <v>429420.0</v>
      </c>
      <c r="H367" s="42">
        <v>422081.0</v>
      </c>
      <c r="I367" s="42">
        <v>414358.0</v>
      </c>
      <c r="J367" s="42">
        <v>406531.0</v>
      </c>
      <c r="K367" s="42">
        <v>398399.0</v>
      </c>
      <c r="L367" s="42">
        <v>389796.0</v>
      </c>
      <c r="M367" s="42">
        <v>380816.0</v>
      </c>
      <c r="N367" s="42">
        <v>371955.0</v>
      </c>
      <c r="O367" s="42">
        <v>362791.0</v>
      </c>
      <c r="P367" s="42">
        <v>353440.0</v>
      </c>
      <c r="Q367" s="42">
        <v>344075.0</v>
      </c>
    </row>
    <row r="368" ht="14.25" customHeight="1">
      <c r="A368" s="41" t="s">
        <v>123</v>
      </c>
      <c r="B368" s="42">
        <v>385522.0</v>
      </c>
      <c r="C368" s="42">
        <v>382268.0</v>
      </c>
      <c r="D368" s="42">
        <v>378779.0</v>
      </c>
      <c r="E368" s="42">
        <v>375112.0</v>
      </c>
      <c r="F368" s="42">
        <v>371356.0</v>
      </c>
      <c r="G368" s="42">
        <v>367598.0</v>
      </c>
      <c r="H368" s="42">
        <v>363873.0</v>
      </c>
      <c r="I368" s="42">
        <v>359927.0</v>
      </c>
      <c r="J368" s="42">
        <v>355866.0</v>
      </c>
      <c r="K368" s="42">
        <v>351670.0</v>
      </c>
      <c r="L368" s="42">
        <v>347264.0</v>
      </c>
      <c r="M368" s="42">
        <v>342641.0</v>
      </c>
      <c r="N368" s="42">
        <v>337893.0</v>
      </c>
      <c r="O368" s="42">
        <v>333130.0</v>
      </c>
      <c r="P368" s="42">
        <v>328308.0</v>
      </c>
      <c r="Q368" s="42">
        <v>323410.0</v>
      </c>
    </row>
    <row r="369" ht="14.25" customHeight="1">
      <c r="A369" s="41" t="s">
        <v>124</v>
      </c>
      <c r="B369" s="42">
        <v>206194.0</v>
      </c>
      <c r="C369" s="42">
        <v>208066.0</v>
      </c>
      <c r="D369" s="42">
        <v>209948.0</v>
      </c>
      <c r="E369" s="42">
        <v>211855.0</v>
      </c>
      <c r="F369" s="42">
        <v>213726.0</v>
      </c>
      <c r="G369" s="42">
        <v>215533.0</v>
      </c>
      <c r="H369" s="42">
        <v>217265.0</v>
      </c>
      <c r="I369" s="42">
        <v>218926.0</v>
      </c>
      <c r="J369" s="42">
        <v>220461.0</v>
      </c>
      <c r="K369" s="42">
        <v>221865.0</v>
      </c>
      <c r="L369" s="42">
        <v>223142.0</v>
      </c>
      <c r="M369" s="42">
        <v>224255.0</v>
      </c>
      <c r="N369" s="42">
        <v>225154.0</v>
      </c>
      <c r="O369" s="42">
        <v>225899.0</v>
      </c>
      <c r="P369" s="42">
        <v>226530.0</v>
      </c>
      <c r="Q369" s="42">
        <v>227076.0</v>
      </c>
    </row>
    <row r="370" ht="14.25" customHeight="1">
      <c r="A370" s="41" t="s">
        <v>125</v>
      </c>
      <c r="B370" s="42">
        <v>182030.0</v>
      </c>
      <c r="C370" s="42">
        <v>184936.0</v>
      </c>
      <c r="D370" s="42">
        <v>188027.0</v>
      </c>
      <c r="E370" s="42">
        <v>191234.0</v>
      </c>
      <c r="F370" s="42">
        <v>194478.0</v>
      </c>
      <c r="G370" s="42">
        <v>197707.0</v>
      </c>
      <c r="H370" s="42">
        <v>200881.0</v>
      </c>
      <c r="I370" s="42">
        <v>204110.0</v>
      </c>
      <c r="J370" s="42">
        <v>207262.0</v>
      </c>
      <c r="K370" s="42">
        <v>210329.0</v>
      </c>
      <c r="L370" s="42">
        <v>213311.0</v>
      </c>
      <c r="M370" s="42">
        <v>216172.0</v>
      </c>
      <c r="N370" s="42">
        <v>218769.0</v>
      </c>
      <c r="O370" s="42">
        <v>221144.0</v>
      </c>
      <c r="P370" s="42">
        <v>223382.0</v>
      </c>
      <c r="Q370" s="42">
        <v>225549.0</v>
      </c>
    </row>
    <row r="371" ht="14.25" customHeight="1">
      <c r="A371" s="41" t="s">
        <v>126</v>
      </c>
      <c r="B371" s="48">
        <v>2.16</v>
      </c>
      <c r="C371" s="48">
        <v>2.17</v>
      </c>
      <c r="D371" s="48">
        <v>2.19</v>
      </c>
      <c r="E371" s="48">
        <v>2.2</v>
      </c>
      <c r="F371" s="48">
        <v>2.22</v>
      </c>
      <c r="G371" s="48">
        <v>2.23</v>
      </c>
      <c r="H371" s="48">
        <v>2.25</v>
      </c>
      <c r="I371" s="48">
        <v>2.26</v>
      </c>
      <c r="J371" s="48">
        <v>2.28</v>
      </c>
      <c r="K371" s="48">
        <v>2.29</v>
      </c>
      <c r="L371" s="48">
        <v>2.31</v>
      </c>
      <c r="M371" s="48">
        <v>2.33</v>
      </c>
      <c r="N371" s="48">
        <v>2.35</v>
      </c>
      <c r="O371" s="48">
        <v>2.36</v>
      </c>
      <c r="P371" s="48">
        <v>2.38</v>
      </c>
      <c r="Q371" s="48">
        <v>2.4</v>
      </c>
    </row>
    <row r="372" ht="14.25" customHeight="1">
      <c r="A372" s="40" t="s">
        <v>61</v>
      </c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4"/>
    </row>
    <row r="373" ht="14.25" customHeight="1">
      <c r="A373" s="41" t="s">
        <v>121</v>
      </c>
      <c r="B373" s="42">
        <v>413723.0</v>
      </c>
      <c r="C373" s="42">
        <v>412211.0</v>
      </c>
      <c r="D373" s="42">
        <v>410518.0</v>
      </c>
      <c r="E373" s="42">
        <v>408734.0</v>
      </c>
      <c r="F373" s="42">
        <v>406871.0</v>
      </c>
      <c r="G373" s="42">
        <v>404941.0</v>
      </c>
      <c r="H373" s="42">
        <v>402948.0</v>
      </c>
      <c r="I373" s="42">
        <v>400723.0</v>
      </c>
      <c r="J373" s="42">
        <v>398371.0</v>
      </c>
      <c r="K373" s="42">
        <v>395793.0</v>
      </c>
      <c r="L373" s="42">
        <v>392913.0</v>
      </c>
      <c r="M373" s="42">
        <v>389754.0</v>
      </c>
      <c r="N373" s="42">
        <v>386458.0</v>
      </c>
      <c r="O373" s="42">
        <v>382952.0</v>
      </c>
      <c r="P373" s="42">
        <v>379273.0</v>
      </c>
      <c r="Q373" s="42">
        <v>375561.0</v>
      </c>
    </row>
    <row r="374" ht="14.25" customHeight="1">
      <c r="A374" s="41" t="s">
        <v>122</v>
      </c>
      <c r="B374" s="42">
        <v>143731.0</v>
      </c>
      <c r="C374" s="42">
        <v>141694.0</v>
      </c>
      <c r="D374" s="42">
        <v>139517.0</v>
      </c>
      <c r="E374" s="42">
        <v>137263.0</v>
      </c>
      <c r="F374" s="42">
        <v>134973.0</v>
      </c>
      <c r="G374" s="42">
        <v>132660.0</v>
      </c>
      <c r="H374" s="42">
        <v>130326.0</v>
      </c>
      <c r="I374" s="42">
        <v>127856.0</v>
      </c>
      <c r="J374" s="42">
        <v>125374.0</v>
      </c>
      <c r="K374" s="42">
        <v>122791.0</v>
      </c>
      <c r="L374" s="42">
        <v>120060.0</v>
      </c>
      <c r="M374" s="42">
        <v>117217.0</v>
      </c>
      <c r="N374" s="42">
        <v>114450.0</v>
      </c>
      <c r="O374" s="42">
        <v>111607.0</v>
      </c>
      <c r="P374" s="42">
        <v>108702.0</v>
      </c>
      <c r="Q374" s="42">
        <v>105827.0</v>
      </c>
    </row>
    <row r="375" ht="14.25" customHeight="1">
      <c r="A375" s="41" t="s">
        <v>123</v>
      </c>
      <c r="B375" s="42">
        <v>124112.0</v>
      </c>
      <c r="C375" s="42">
        <v>123099.0</v>
      </c>
      <c r="D375" s="42">
        <v>121975.0</v>
      </c>
      <c r="E375" s="42">
        <v>120813.0</v>
      </c>
      <c r="F375" s="42">
        <v>119619.0</v>
      </c>
      <c r="G375" s="42">
        <v>118408.0</v>
      </c>
      <c r="H375" s="42">
        <v>117221.0</v>
      </c>
      <c r="I375" s="42">
        <v>115940.0</v>
      </c>
      <c r="J375" s="42">
        <v>114634.0</v>
      </c>
      <c r="K375" s="42">
        <v>113275.0</v>
      </c>
      <c r="L375" s="42">
        <v>111839.0</v>
      </c>
      <c r="M375" s="42">
        <v>110344.0</v>
      </c>
      <c r="N375" s="42">
        <v>108812.0</v>
      </c>
      <c r="O375" s="42">
        <v>107290.0</v>
      </c>
      <c r="P375" s="42">
        <v>105747.0</v>
      </c>
      <c r="Q375" s="42">
        <v>104208.0</v>
      </c>
    </row>
    <row r="376" ht="14.25" customHeight="1">
      <c r="A376" s="41" t="s">
        <v>124</v>
      </c>
      <c r="B376" s="42">
        <v>75183.0</v>
      </c>
      <c r="C376" s="42">
        <v>75636.0</v>
      </c>
      <c r="D376" s="42">
        <v>76081.0</v>
      </c>
      <c r="E376" s="42">
        <v>76528.0</v>
      </c>
      <c r="F376" s="42">
        <v>76957.0</v>
      </c>
      <c r="G376" s="42">
        <v>77357.0</v>
      </c>
      <c r="H376" s="42">
        <v>77728.0</v>
      </c>
      <c r="I376" s="42">
        <v>78072.0</v>
      </c>
      <c r="J376" s="42">
        <v>78364.0</v>
      </c>
      <c r="K376" s="42">
        <v>78614.0</v>
      </c>
      <c r="L376" s="42">
        <v>78816.0</v>
      </c>
      <c r="M376" s="42">
        <v>78961.0</v>
      </c>
      <c r="N376" s="42">
        <v>79029.0</v>
      </c>
      <c r="O376" s="42">
        <v>79045.0</v>
      </c>
      <c r="P376" s="42">
        <v>79024.0</v>
      </c>
      <c r="Q376" s="42">
        <v>78973.0</v>
      </c>
    </row>
    <row r="377" ht="14.25" customHeight="1">
      <c r="A377" s="41" t="s">
        <v>125</v>
      </c>
      <c r="B377" s="42">
        <v>70697.0</v>
      </c>
      <c r="C377" s="42">
        <v>71782.0</v>
      </c>
      <c r="D377" s="42">
        <v>72945.0</v>
      </c>
      <c r="E377" s="42">
        <v>74130.0</v>
      </c>
      <c r="F377" s="42">
        <v>75322.0</v>
      </c>
      <c r="G377" s="42">
        <v>76516.0</v>
      </c>
      <c r="H377" s="42">
        <v>77673.0</v>
      </c>
      <c r="I377" s="42">
        <v>78855.0</v>
      </c>
      <c r="J377" s="42">
        <v>79999.0</v>
      </c>
      <c r="K377" s="42">
        <v>81113.0</v>
      </c>
      <c r="L377" s="42">
        <v>82198.0</v>
      </c>
      <c r="M377" s="42">
        <v>83232.0</v>
      </c>
      <c r="N377" s="42">
        <v>84167.0</v>
      </c>
      <c r="O377" s="42">
        <v>85010.0</v>
      </c>
      <c r="P377" s="42">
        <v>85800.0</v>
      </c>
      <c r="Q377" s="42">
        <v>86553.0</v>
      </c>
    </row>
    <row r="378" ht="14.25" customHeight="1">
      <c r="A378" s="41" t="s">
        <v>126</v>
      </c>
      <c r="B378" s="48">
        <v>2.26</v>
      </c>
      <c r="C378" s="48">
        <v>2.27</v>
      </c>
      <c r="D378" s="48">
        <v>2.29</v>
      </c>
      <c r="E378" s="48">
        <v>2.3</v>
      </c>
      <c r="F378" s="48">
        <v>2.32</v>
      </c>
      <c r="G378" s="48">
        <v>2.34</v>
      </c>
      <c r="H378" s="48">
        <v>2.35</v>
      </c>
      <c r="I378" s="48">
        <v>2.37</v>
      </c>
      <c r="J378" s="48">
        <v>2.39</v>
      </c>
      <c r="K378" s="48">
        <v>2.4</v>
      </c>
      <c r="L378" s="48">
        <v>2.42</v>
      </c>
      <c r="M378" s="48">
        <v>2.44</v>
      </c>
      <c r="N378" s="48">
        <v>2.46</v>
      </c>
      <c r="O378" s="48">
        <v>2.47</v>
      </c>
      <c r="P378" s="48">
        <v>2.49</v>
      </c>
      <c r="Q378" s="48">
        <v>2.51</v>
      </c>
    </row>
    <row r="379" ht="14.25" customHeight="1">
      <c r="A379" s="40" t="s">
        <v>88</v>
      </c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4"/>
    </row>
    <row r="380" ht="14.25" customHeight="1">
      <c r="A380" s="41" t="s">
        <v>121</v>
      </c>
      <c r="B380" s="42">
        <v>525664.0</v>
      </c>
      <c r="C380" s="42">
        <v>523211.0</v>
      </c>
      <c r="D380" s="42">
        <v>520601.0</v>
      </c>
      <c r="E380" s="42">
        <v>517809.0</v>
      </c>
      <c r="F380" s="42">
        <v>514931.0</v>
      </c>
      <c r="G380" s="42">
        <v>512018.0</v>
      </c>
      <c r="H380" s="42">
        <v>508958.0</v>
      </c>
      <c r="I380" s="42">
        <v>505606.0</v>
      </c>
      <c r="J380" s="42">
        <v>502051.0</v>
      </c>
      <c r="K380" s="42">
        <v>498206.0</v>
      </c>
      <c r="L380" s="42">
        <v>493975.0</v>
      </c>
      <c r="M380" s="42">
        <v>489332.0</v>
      </c>
      <c r="N380" s="42">
        <v>484493.0</v>
      </c>
      <c r="O380" s="42">
        <v>479304.0</v>
      </c>
      <c r="P380" s="42">
        <v>473872.0</v>
      </c>
      <c r="Q380" s="42">
        <v>468278.0</v>
      </c>
    </row>
    <row r="381" ht="14.25" customHeight="1">
      <c r="A381" s="41" t="s">
        <v>122</v>
      </c>
      <c r="B381" s="42">
        <v>197167.0</v>
      </c>
      <c r="C381" s="42">
        <v>194211.0</v>
      </c>
      <c r="D381" s="42">
        <v>191109.0</v>
      </c>
      <c r="E381" s="42">
        <v>187857.0</v>
      </c>
      <c r="F381" s="42">
        <v>184558.0</v>
      </c>
      <c r="G381" s="42">
        <v>181256.0</v>
      </c>
      <c r="H381" s="42">
        <v>177857.0</v>
      </c>
      <c r="I381" s="42">
        <v>174277.0</v>
      </c>
      <c r="J381" s="42">
        <v>170635.0</v>
      </c>
      <c r="K381" s="42">
        <v>166858.0</v>
      </c>
      <c r="L381" s="42">
        <v>162872.0</v>
      </c>
      <c r="M381" s="42">
        <v>158698.0</v>
      </c>
      <c r="N381" s="42">
        <v>154598.0</v>
      </c>
      <c r="O381" s="42">
        <v>150324.0</v>
      </c>
      <c r="P381" s="42">
        <v>145973.0</v>
      </c>
      <c r="Q381" s="42">
        <v>141591.0</v>
      </c>
    </row>
    <row r="382" ht="14.25" customHeight="1">
      <c r="A382" s="41" t="s">
        <v>123</v>
      </c>
      <c r="B382" s="42">
        <v>168059.0</v>
      </c>
      <c r="C382" s="42">
        <v>166437.0</v>
      </c>
      <c r="D382" s="42">
        <v>164732.0</v>
      </c>
      <c r="E382" s="42">
        <v>162914.0</v>
      </c>
      <c r="F382" s="42">
        <v>161049.0</v>
      </c>
      <c r="G382" s="42">
        <v>159207.0</v>
      </c>
      <c r="H382" s="42">
        <v>157360.0</v>
      </c>
      <c r="I382" s="42">
        <v>155406.0</v>
      </c>
      <c r="J382" s="42">
        <v>153398.0</v>
      </c>
      <c r="K382" s="42">
        <v>151340.0</v>
      </c>
      <c r="L382" s="42">
        <v>149204.0</v>
      </c>
      <c r="M382" s="42">
        <v>146970.0</v>
      </c>
      <c r="N382" s="42">
        <v>144683.0</v>
      </c>
      <c r="O382" s="42">
        <v>142376.0</v>
      </c>
      <c r="P382" s="42">
        <v>140019.0</v>
      </c>
      <c r="Q382" s="42">
        <v>137612.0</v>
      </c>
    </row>
    <row r="383" ht="14.25" customHeight="1">
      <c r="A383" s="41" t="s">
        <v>124</v>
      </c>
      <c r="B383" s="42">
        <v>84662.0</v>
      </c>
      <c r="C383" s="42">
        <v>85580.0</v>
      </c>
      <c r="D383" s="42">
        <v>86502.0</v>
      </c>
      <c r="E383" s="42">
        <v>87437.0</v>
      </c>
      <c r="F383" s="42">
        <v>88362.0</v>
      </c>
      <c r="G383" s="42">
        <v>89255.0</v>
      </c>
      <c r="H383" s="42">
        <v>90116.0</v>
      </c>
      <c r="I383" s="42">
        <v>90947.0</v>
      </c>
      <c r="J383" s="42">
        <v>91724.0</v>
      </c>
      <c r="K383" s="42">
        <v>92439.0</v>
      </c>
      <c r="L383" s="42">
        <v>93098.0</v>
      </c>
      <c r="M383" s="42">
        <v>93683.0</v>
      </c>
      <c r="N383" s="42">
        <v>94177.0</v>
      </c>
      <c r="O383" s="42">
        <v>94604.0</v>
      </c>
      <c r="P383" s="42">
        <v>94973.0</v>
      </c>
      <c r="Q383" s="42">
        <v>95301.0</v>
      </c>
    </row>
    <row r="384" ht="14.25" customHeight="1">
      <c r="A384" s="41" t="s">
        <v>125</v>
      </c>
      <c r="B384" s="42">
        <v>75776.0</v>
      </c>
      <c r="C384" s="42">
        <v>76983.0</v>
      </c>
      <c r="D384" s="42">
        <v>78258.0</v>
      </c>
      <c r="E384" s="42">
        <v>79601.0</v>
      </c>
      <c r="F384" s="42">
        <v>80962.0</v>
      </c>
      <c r="G384" s="42">
        <v>82300.0</v>
      </c>
      <c r="H384" s="42">
        <v>83625.0</v>
      </c>
      <c r="I384" s="42">
        <v>84976.0</v>
      </c>
      <c r="J384" s="42">
        <v>86294.0</v>
      </c>
      <c r="K384" s="42">
        <v>87569.0</v>
      </c>
      <c r="L384" s="42">
        <v>88801.0</v>
      </c>
      <c r="M384" s="42">
        <v>89981.0</v>
      </c>
      <c r="N384" s="42">
        <v>91035.0</v>
      </c>
      <c r="O384" s="42">
        <v>92000.0</v>
      </c>
      <c r="P384" s="42">
        <v>92907.0</v>
      </c>
      <c r="Q384" s="42">
        <v>93774.0</v>
      </c>
    </row>
    <row r="385" ht="14.25" customHeight="1">
      <c r="A385" s="41" t="s">
        <v>126</v>
      </c>
      <c r="B385" s="48">
        <v>2.14</v>
      </c>
      <c r="C385" s="48">
        <v>2.15</v>
      </c>
      <c r="D385" s="48">
        <v>2.17</v>
      </c>
      <c r="E385" s="48">
        <v>2.18</v>
      </c>
      <c r="F385" s="48">
        <v>2.2</v>
      </c>
      <c r="G385" s="48">
        <v>2.22</v>
      </c>
      <c r="H385" s="48">
        <v>2.23</v>
      </c>
      <c r="I385" s="48">
        <v>2.25</v>
      </c>
      <c r="J385" s="48">
        <v>2.27</v>
      </c>
      <c r="K385" s="48">
        <v>2.28</v>
      </c>
      <c r="L385" s="48">
        <v>2.3</v>
      </c>
      <c r="M385" s="48">
        <v>2.32</v>
      </c>
      <c r="N385" s="48">
        <v>2.34</v>
      </c>
      <c r="O385" s="48">
        <v>2.36</v>
      </c>
      <c r="P385" s="48">
        <v>2.37</v>
      </c>
      <c r="Q385" s="48">
        <v>2.39</v>
      </c>
    </row>
    <row r="386" ht="14.25" customHeight="1">
      <c r="A386" s="40" t="s">
        <v>62</v>
      </c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4"/>
    </row>
    <row r="387" ht="14.25" customHeight="1">
      <c r="A387" s="41" t="s">
        <v>121</v>
      </c>
      <c r="B387" s="42">
        <v>150546.0</v>
      </c>
      <c r="C387" s="42">
        <v>150136.0</v>
      </c>
      <c r="D387" s="42">
        <v>149694.0</v>
      </c>
      <c r="E387" s="42">
        <v>149230.0</v>
      </c>
      <c r="F387" s="42">
        <v>148749.0</v>
      </c>
      <c r="G387" s="42">
        <v>148239.0</v>
      </c>
      <c r="H387" s="42">
        <v>147725.0</v>
      </c>
      <c r="I387" s="42">
        <v>147156.0</v>
      </c>
      <c r="J387" s="42">
        <v>146545.0</v>
      </c>
      <c r="K387" s="42">
        <v>145876.0</v>
      </c>
      <c r="L387" s="42">
        <v>145107.0</v>
      </c>
      <c r="M387" s="42">
        <v>144263.0</v>
      </c>
      <c r="N387" s="42">
        <v>143346.0</v>
      </c>
      <c r="O387" s="42">
        <v>142363.0</v>
      </c>
      <c r="P387" s="42">
        <v>141348.0</v>
      </c>
      <c r="Q387" s="42">
        <v>140307.0</v>
      </c>
    </row>
    <row r="388" ht="14.25" customHeight="1">
      <c r="A388" s="41" t="s">
        <v>122</v>
      </c>
      <c r="B388" s="42">
        <v>60962.0</v>
      </c>
      <c r="C388" s="42">
        <v>60249.0</v>
      </c>
      <c r="D388" s="42">
        <v>59504.0</v>
      </c>
      <c r="E388" s="42">
        <v>58733.0</v>
      </c>
      <c r="F388" s="42">
        <v>57949.0</v>
      </c>
      <c r="G388" s="42">
        <v>57145.0</v>
      </c>
      <c r="H388" s="42">
        <v>56339.0</v>
      </c>
      <c r="I388" s="42">
        <v>55497.0</v>
      </c>
      <c r="J388" s="42">
        <v>54646.0</v>
      </c>
      <c r="K388" s="42">
        <v>53766.0</v>
      </c>
      <c r="L388" s="42">
        <v>52834.0</v>
      </c>
      <c r="M388" s="42">
        <v>51873.0</v>
      </c>
      <c r="N388" s="42">
        <v>50892.0</v>
      </c>
      <c r="O388" s="42">
        <v>49887.0</v>
      </c>
      <c r="P388" s="42">
        <v>48864.0</v>
      </c>
      <c r="Q388" s="42">
        <v>47835.0</v>
      </c>
    </row>
    <row r="389" ht="14.25" customHeight="1">
      <c r="A389" s="41" t="s">
        <v>123</v>
      </c>
      <c r="B389" s="42">
        <v>46613.0</v>
      </c>
      <c r="C389" s="42">
        <v>46293.0</v>
      </c>
      <c r="D389" s="42">
        <v>45955.0</v>
      </c>
      <c r="E389" s="42">
        <v>45607.0</v>
      </c>
      <c r="F389" s="42">
        <v>45250.0</v>
      </c>
      <c r="G389" s="42">
        <v>44881.0</v>
      </c>
      <c r="H389" s="42">
        <v>44524.0</v>
      </c>
      <c r="I389" s="42">
        <v>44150.0</v>
      </c>
      <c r="J389" s="42">
        <v>43758.0</v>
      </c>
      <c r="K389" s="42">
        <v>43354.0</v>
      </c>
      <c r="L389" s="42">
        <v>42919.0</v>
      </c>
      <c r="M389" s="42">
        <v>42467.0</v>
      </c>
      <c r="N389" s="42">
        <v>41997.0</v>
      </c>
      <c r="O389" s="42">
        <v>41521.0</v>
      </c>
      <c r="P389" s="42">
        <v>41049.0</v>
      </c>
      <c r="Q389" s="42">
        <v>40559.0</v>
      </c>
    </row>
    <row r="390" ht="14.25" customHeight="1">
      <c r="A390" s="41" t="s">
        <v>124</v>
      </c>
      <c r="B390" s="42">
        <v>23931.0</v>
      </c>
      <c r="C390" s="42">
        <v>24199.0</v>
      </c>
      <c r="D390" s="42">
        <v>24470.0</v>
      </c>
      <c r="E390" s="42">
        <v>24745.0</v>
      </c>
      <c r="F390" s="42">
        <v>25018.0</v>
      </c>
      <c r="G390" s="42">
        <v>25288.0</v>
      </c>
      <c r="H390" s="42">
        <v>25550.0</v>
      </c>
      <c r="I390" s="42">
        <v>25805.0</v>
      </c>
      <c r="J390" s="42">
        <v>26050.0</v>
      </c>
      <c r="K390" s="42">
        <v>26283.0</v>
      </c>
      <c r="L390" s="42">
        <v>26505.0</v>
      </c>
      <c r="M390" s="42">
        <v>26711.0</v>
      </c>
      <c r="N390" s="42">
        <v>26897.0</v>
      </c>
      <c r="O390" s="42">
        <v>27068.0</v>
      </c>
      <c r="P390" s="42">
        <v>27229.0</v>
      </c>
      <c r="Q390" s="42">
        <v>27385.0</v>
      </c>
    </row>
    <row r="391" ht="14.25" customHeight="1">
      <c r="A391" s="41" t="s">
        <v>125</v>
      </c>
      <c r="B391" s="42">
        <v>19040.0</v>
      </c>
      <c r="C391" s="42">
        <v>19395.0</v>
      </c>
      <c r="D391" s="42">
        <v>19765.0</v>
      </c>
      <c r="E391" s="42">
        <v>20145.0</v>
      </c>
      <c r="F391" s="42">
        <v>20532.0</v>
      </c>
      <c r="G391" s="42">
        <v>20925.0</v>
      </c>
      <c r="H391" s="42">
        <v>21312.0</v>
      </c>
      <c r="I391" s="42">
        <v>21704.0</v>
      </c>
      <c r="J391" s="42">
        <v>22091.0</v>
      </c>
      <c r="K391" s="42">
        <v>22473.0</v>
      </c>
      <c r="L391" s="42">
        <v>22849.0</v>
      </c>
      <c r="M391" s="42">
        <v>23212.0</v>
      </c>
      <c r="N391" s="42">
        <v>23560.0</v>
      </c>
      <c r="O391" s="42">
        <v>23887.0</v>
      </c>
      <c r="P391" s="42">
        <v>24206.0</v>
      </c>
      <c r="Q391" s="42">
        <v>24528.0</v>
      </c>
    </row>
    <row r="392" ht="14.25" customHeight="1">
      <c r="A392" s="41" t="s">
        <v>126</v>
      </c>
      <c r="B392" s="48">
        <v>2.08</v>
      </c>
      <c r="C392" s="48">
        <v>2.09</v>
      </c>
      <c r="D392" s="48">
        <v>2.1</v>
      </c>
      <c r="E392" s="48">
        <v>2.11</v>
      </c>
      <c r="F392" s="48">
        <v>2.13</v>
      </c>
      <c r="G392" s="48">
        <v>2.14</v>
      </c>
      <c r="H392" s="48">
        <v>2.16</v>
      </c>
      <c r="I392" s="48">
        <v>2.17</v>
      </c>
      <c r="J392" s="48">
        <v>2.18</v>
      </c>
      <c r="K392" s="48">
        <v>2.2</v>
      </c>
      <c r="L392" s="48">
        <v>2.21</v>
      </c>
      <c r="M392" s="48">
        <v>2.23</v>
      </c>
      <c r="N392" s="48">
        <v>2.24</v>
      </c>
      <c r="O392" s="48">
        <v>2.26</v>
      </c>
      <c r="P392" s="48">
        <v>2.28</v>
      </c>
      <c r="Q392" s="48">
        <v>2.29</v>
      </c>
    </row>
    <row r="393" ht="14.25" customHeight="1">
      <c r="A393" s="40" t="s">
        <v>63</v>
      </c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4"/>
    </row>
    <row r="394" ht="14.25" customHeight="1">
      <c r="A394" s="41" t="s">
        <v>121</v>
      </c>
      <c r="B394" s="42">
        <v>147738.0</v>
      </c>
      <c r="C394" s="42">
        <v>147259.0</v>
      </c>
      <c r="D394" s="42">
        <v>146733.0</v>
      </c>
      <c r="E394" s="42">
        <v>146179.0</v>
      </c>
      <c r="F394" s="42">
        <v>145622.0</v>
      </c>
      <c r="G394" s="42">
        <v>145060.0</v>
      </c>
      <c r="H394" s="42">
        <v>144469.0</v>
      </c>
      <c r="I394" s="42">
        <v>143836.0</v>
      </c>
      <c r="J394" s="42">
        <v>143153.0</v>
      </c>
      <c r="K394" s="42">
        <v>142388.0</v>
      </c>
      <c r="L394" s="42">
        <v>141518.0</v>
      </c>
      <c r="M394" s="42">
        <v>140535.0</v>
      </c>
      <c r="N394" s="42">
        <v>139474.0</v>
      </c>
      <c r="O394" s="42">
        <v>138345.0</v>
      </c>
      <c r="P394" s="42">
        <v>137167.0</v>
      </c>
      <c r="Q394" s="42">
        <v>135964.0</v>
      </c>
    </row>
    <row r="395" ht="14.25" customHeight="1">
      <c r="A395" s="41" t="s">
        <v>122</v>
      </c>
      <c r="B395" s="42">
        <v>62065.0</v>
      </c>
      <c r="C395" s="42">
        <v>61393.0</v>
      </c>
      <c r="D395" s="42">
        <v>60662.0</v>
      </c>
      <c r="E395" s="42">
        <v>59898.0</v>
      </c>
      <c r="F395" s="42">
        <v>59133.0</v>
      </c>
      <c r="G395" s="42">
        <v>58359.0</v>
      </c>
      <c r="H395" s="42">
        <v>57559.0</v>
      </c>
      <c r="I395" s="42">
        <v>56728.0</v>
      </c>
      <c r="J395" s="42">
        <v>55876.0</v>
      </c>
      <c r="K395" s="42">
        <v>54984.0</v>
      </c>
      <c r="L395" s="42">
        <v>54030.0</v>
      </c>
      <c r="M395" s="42">
        <v>53028.0</v>
      </c>
      <c r="N395" s="42">
        <v>52015.0</v>
      </c>
      <c r="O395" s="42">
        <v>50973.0</v>
      </c>
      <c r="P395" s="42">
        <v>49901.0</v>
      </c>
      <c r="Q395" s="42">
        <v>48822.0</v>
      </c>
    </row>
    <row r="396" ht="14.25" customHeight="1">
      <c r="A396" s="41" t="s">
        <v>123</v>
      </c>
      <c r="B396" s="42">
        <v>46738.0</v>
      </c>
      <c r="C396" s="42">
        <v>46439.0</v>
      </c>
      <c r="D396" s="42">
        <v>46117.0</v>
      </c>
      <c r="E396" s="42">
        <v>45778.0</v>
      </c>
      <c r="F396" s="42">
        <v>45438.0</v>
      </c>
      <c r="G396" s="42">
        <v>45102.0</v>
      </c>
      <c r="H396" s="42">
        <v>44768.0</v>
      </c>
      <c r="I396" s="42">
        <v>44431.0</v>
      </c>
      <c r="J396" s="42">
        <v>44076.0</v>
      </c>
      <c r="K396" s="42">
        <v>43701.0</v>
      </c>
      <c r="L396" s="42">
        <v>43302.0</v>
      </c>
      <c r="M396" s="42">
        <v>42860.0</v>
      </c>
      <c r="N396" s="42">
        <v>42401.0</v>
      </c>
      <c r="O396" s="42">
        <v>41943.0</v>
      </c>
      <c r="P396" s="42">
        <v>41493.0</v>
      </c>
      <c r="Q396" s="42">
        <v>41031.0</v>
      </c>
    </row>
    <row r="397" ht="14.25" customHeight="1">
      <c r="A397" s="41" t="s">
        <v>124</v>
      </c>
      <c r="B397" s="42">
        <v>22418.0</v>
      </c>
      <c r="C397" s="42">
        <v>22651.0</v>
      </c>
      <c r="D397" s="42">
        <v>22895.0</v>
      </c>
      <c r="E397" s="42">
        <v>23145.0</v>
      </c>
      <c r="F397" s="42">
        <v>23389.0</v>
      </c>
      <c r="G397" s="42">
        <v>23633.0</v>
      </c>
      <c r="H397" s="42">
        <v>23871.0</v>
      </c>
      <c r="I397" s="42">
        <v>24102.0</v>
      </c>
      <c r="J397" s="42">
        <v>24323.0</v>
      </c>
      <c r="K397" s="42">
        <v>24529.0</v>
      </c>
      <c r="L397" s="42">
        <v>24723.0</v>
      </c>
      <c r="M397" s="42">
        <v>24900.0</v>
      </c>
      <c r="N397" s="42">
        <v>25051.0</v>
      </c>
      <c r="O397" s="42">
        <v>25182.0</v>
      </c>
      <c r="P397" s="42">
        <v>25304.0</v>
      </c>
      <c r="Q397" s="42">
        <v>25417.0</v>
      </c>
    </row>
    <row r="398" ht="14.25" customHeight="1">
      <c r="A398" s="41" t="s">
        <v>125</v>
      </c>
      <c r="B398" s="42">
        <v>16517.0</v>
      </c>
      <c r="C398" s="42">
        <v>16776.0</v>
      </c>
      <c r="D398" s="42">
        <v>17059.0</v>
      </c>
      <c r="E398" s="42">
        <v>17358.0</v>
      </c>
      <c r="F398" s="42">
        <v>17662.0</v>
      </c>
      <c r="G398" s="42">
        <v>17966.0</v>
      </c>
      <c r="H398" s="42">
        <v>18271.0</v>
      </c>
      <c r="I398" s="42">
        <v>18575.0</v>
      </c>
      <c r="J398" s="42">
        <v>18878.0</v>
      </c>
      <c r="K398" s="42">
        <v>19174.0</v>
      </c>
      <c r="L398" s="42">
        <v>19463.0</v>
      </c>
      <c r="M398" s="42">
        <v>19747.0</v>
      </c>
      <c r="N398" s="42">
        <v>20007.0</v>
      </c>
      <c r="O398" s="42">
        <v>20247.0</v>
      </c>
      <c r="P398" s="42">
        <v>20469.0</v>
      </c>
      <c r="Q398" s="42">
        <v>20694.0</v>
      </c>
    </row>
    <row r="399" ht="14.25" customHeight="1">
      <c r="A399" s="41" t="s">
        <v>126</v>
      </c>
      <c r="B399" s="48">
        <v>2.03</v>
      </c>
      <c r="C399" s="48">
        <v>2.04</v>
      </c>
      <c r="D399" s="48">
        <v>2.05</v>
      </c>
      <c r="E399" s="48">
        <v>2.06</v>
      </c>
      <c r="F399" s="48">
        <v>2.07</v>
      </c>
      <c r="G399" s="48">
        <v>2.08</v>
      </c>
      <c r="H399" s="48">
        <v>2.09</v>
      </c>
      <c r="I399" s="48">
        <v>2.11</v>
      </c>
      <c r="J399" s="48">
        <v>2.12</v>
      </c>
      <c r="K399" s="48">
        <v>2.13</v>
      </c>
      <c r="L399" s="48">
        <v>2.14</v>
      </c>
      <c r="M399" s="48">
        <v>2.16</v>
      </c>
      <c r="N399" s="48">
        <v>2.17</v>
      </c>
      <c r="O399" s="48">
        <v>2.18</v>
      </c>
      <c r="P399" s="48">
        <v>2.19</v>
      </c>
      <c r="Q399" s="48">
        <v>2.21</v>
      </c>
    </row>
    <row r="400" ht="14.25" customHeight="1">
      <c r="A400" s="40" t="s">
        <v>89</v>
      </c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4"/>
    </row>
    <row r="401" ht="14.25" customHeight="1">
      <c r="A401" s="41" t="s">
        <v>121</v>
      </c>
      <c r="B401" s="42">
        <v>3251492.0</v>
      </c>
      <c r="C401" s="42">
        <v>3226560.0</v>
      </c>
      <c r="D401" s="42">
        <v>3200602.0</v>
      </c>
      <c r="E401" s="42">
        <v>3173614.0</v>
      </c>
      <c r="F401" s="42">
        <v>3145785.0</v>
      </c>
      <c r="G401" s="42">
        <v>3117003.0</v>
      </c>
      <c r="H401" s="42">
        <v>3087088.0</v>
      </c>
      <c r="I401" s="42">
        <v>3054945.0</v>
      </c>
      <c r="J401" s="42">
        <v>3020367.0</v>
      </c>
      <c r="K401" s="42">
        <v>2982795.0</v>
      </c>
      <c r="L401" s="42">
        <v>2941005.0</v>
      </c>
      <c r="M401" s="42">
        <v>2894371.0</v>
      </c>
      <c r="N401" s="42">
        <v>2844026.0</v>
      </c>
      <c r="O401" s="42">
        <v>2790196.0</v>
      </c>
      <c r="P401" s="42">
        <v>2733192.0</v>
      </c>
      <c r="Q401" s="42">
        <v>2675520.0</v>
      </c>
    </row>
    <row r="402" ht="14.25" customHeight="1">
      <c r="A402" s="41" t="s">
        <v>122</v>
      </c>
      <c r="B402" s="42">
        <v>989524.0</v>
      </c>
      <c r="C402" s="42">
        <v>972961.0</v>
      </c>
      <c r="D402" s="42">
        <v>955780.0</v>
      </c>
      <c r="E402" s="42">
        <v>938233.0</v>
      </c>
      <c r="F402" s="42">
        <v>920449.0</v>
      </c>
      <c r="G402" s="42">
        <v>902505.0</v>
      </c>
      <c r="H402" s="42">
        <v>884381.0</v>
      </c>
      <c r="I402" s="42">
        <v>865592.0</v>
      </c>
      <c r="J402" s="42">
        <v>846418.0</v>
      </c>
      <c r="K402" s="42">
        <v>826701.0</v>
      </c>
      <c r="L402" s="42">
        <v>805724.0</v>
      </c>
      <c r="M402" s="42">
        <v>783324.0</v>
      </c>
      <c r="N402" s="42">
        <v>760950.0</v>
      </c>
      <c r="O402" s="42">
        <v>738467.0</v>
      </c>
      <c r="P402" s="42">
        <v>715216.0</v>
      </c>
      <c r="Q402" s="42">
        <v>691954.0</v>
      </c>
    </row>
    <row r="403" ht="14.25" customHeight="1">
      <c r="A403" s="41" t="s">
        <v>123</v>
      </c>
      <c r="B403" s="42">
        <v>1013926.0</v>
      </c>
      <c r="C403" s="42">
        <v>1001821.0</v>
      </c>
      <c r="D403" s="42">
        <v>989033.0</v>
      </c>
      <c r="E403" s="42">
        <v>975376.0</v>
      </c>
      <c r="F403" s="42">
        <v>961272.0</v>
      </c>
      <c r="G403" s="42">
        <v>946790.0</v>
      </c>
      <c r="H403" s="42">
        <v>932139.0</v>
      </c>
      <c r="I403" s="42">
        <v>916733.0</v>
      </c>
      <c r="J403" s="42">
        <v>900583.0</v>
      </c>
      <c r="K403" s="42">
        <v>883711.0</v>
      </c>
      <c r="L403" s="42">
        <v>865788.0</v>
      </c>
      <c r="M403" s="42">
        <v>846591.0</v>
      </c>
      <c r="N403" s="42">
        <v>826492.0</v>
      </c>
      <c r="O403" s="42">
        <v>805776.0</v>
      </c>
      <c r="P403" s="42">
        <v>784418.0</v>
      </c>
      <c r="Q403" s="42">
        <v>762864.0</v>
      </c>
    </row>
    <row r="404" ht="14.25" customHeight="1">
      <c r="A404" s="41" t="s">
        <v>124</v>
      </c>
      <c r="B404" s="42">
        <v>563640.0</v>
      </c>
      <c r="C404" s="42">
        <v>565588.0</v>
      </c>
      <c r="D404" s="42">
        <v>567448.0</v>
      </c>
      <c r="E404" s="42">
        <v>569163.0</v>
      </c>
      <c r="F404" s="42">
        <v>570661.0</v>
      </c>
      <c r="G404" s="42">
        <v>571863.0</v>
      </c>
      <c r="H404" s="42">
        <v>572685.0</v>
      </c>
      <c r="I404" s="42">
        <v>572983.0</v>
      </c>
      <c r="J404" s="42">
        <v>572591.0</v>
      </c>
      <c r="K404" s="42">
        <v>571366.0</v>
      </c>
      <c r="L404" s="42">
        <v>569211.0</v>
      </c>
      <c r="M404" s="42">
        <v>566009.0</v>
      </c>
      <c r="N404" s="42">
        <v>561572.0</v>
      </c>
      <c r="O404" s="42">
        <v>555951.0</v>
      </c>
      <c r="P404" s="42">
        <v>549534.0</v>
      </c>
      <c r="Q404" s="42">
        <v>542769.0</v>
      </c>
    </row>
    <row r="405" ht="14.25" customHeight="1">
      <c r="A405" s="41" t="s">
        <v>125</v>
      </c>
      <c r="B405" s="42">
        <v>684402.0</v>
      </c>
      <c r="C405" s="42">
        <v>686190.0</v>
      </c>
      <c r="D405" s="42">
        <v>688341.0</v>
      </c>
      <c r="E405" s="42">
        <v>690842.0</v>
      </c>
      <c r="F405" s="42">
        <v>693403.0</v>
      </c>
      <c r="G405" s="42">
        <v>695845.0</v>
      </c>
      <c r="H405" s="42">
        <v>697883.0</v>
      </c>
      <c r="I405" s="42">
        <v>699637.0</v>
      </c>
      <c r="J405" s="42">
        <v>700775.0</v>
      </c>
      <c r="K405" s="42">
        <v>701017.0</v>
      </c>
      <c r="L405" s="42">
        <v>700282.0</v>
      </c>
      <c r="M405" s="42">
        <v>698447.0</v>
      </c>
      <c r="N405" s="42">
        <v>695012.0</v>
      </c>
      <c r="O405" s="42">
        <v>690002.0</v>
      </c>
      <c r="P405" s="42">
        <v>684024.0</v>
      </c>
      <c r="Q405" s="42">
        <v>677933.0</v>
      </c>
    </row>
    <row r="406" ht="14.25" customHeight="1">
      <c r="A406" s="41" t="s">
        <v>126</v>
      </c>
      <c r="B406" s="48">
        <v>2.46</v>
      </c>
      <c r="C406" s="48">
        <v>2.47</v>
      </c>
      <c r="D406" s="48">
        <v>2.48</v>
      </c>
      <c r="E406" s="48">
        <v>2.49</v>
      </c>
      <c r="F406" s="48">
        <v>2.5</v>
      </c>
      <c r="G406" s="48">
        <v>2.51</v>
      </c>
      <c r="H406" s="48">
        <v>2.52</v>
      </c>
      <c r="I406" s="48">
        <v>2.53</v>
      </c>
      <c r="J406" s="48">
        <v>2.54</v>
      </c>
      <c r="K406" s="48">
        <v>2.55</v>
      </c>
      <c r="L406" s="48">
        <v>2.56</v>
      </c>
      <c r="M406" s="48">
        <v>2.57</v>
      </c>
      <c r="N406" s="48">
        <v>2.57</v>
      </c>
      <c r="O406" s="48">
        <v>2.58</v>
      </c>
      <c r="P406" s="48">
        <v>2.59</v>
      </c>
      <c r="Q406" s="48">
        <v>2.6</v>
      </c>
    </row>
    <row r="407" ht="14.25" customHeight="1">
      <c r="A407" s="40" t="s">
        <v>64</v>
      </c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4"/>
    </row>
    <row r="408" ht="14.25" customHeight="1">
      <c r="A408" s="41" t="s">
        <v>121</v>
      </c>
      <c r="B408" s="42">
        <v>3251492.0</v>
      </c>
      <c r="C408" s="42">
        <v>3226560.0</v>
      </c>
      <c r="D408" s="42">
        <v>3200602.0</v>
      </c>
      <c r="E408" s="42">
        <v>3173614.0</v>
      </c>
      <c r="F408" s="42">
        <v>3145785.0</v>
      </c>
      <c r="G408" s="42">
        <v>3117003.0</v>
      </c>
      <c r="H408" s="42">
        <v>3087088.0</v>
      </c>
      <c r="I408" s="42">
        <v>3054945.0</v>
      </c>
      <c r="J408" s="42">
        <v>3020367.0</v>
      </c>
      <c r="K408" s="42">
        <v>2982795.0</v>
      </c>
      <c r="L408" s="42">
        <v>2941005.0</v>
      </c>
      <c r="M408" s="42">
        <v>2894371.0</v>
      </c>
      <c r="N408" s="42">
        <v>2844026.0</v>
      </c>
      <c r="O408" s="42">
        <v>2790196.0</v>
      </c>
      <c r="P408" s="42">
        <v>2733192.0</v>
      </c>
      <c r="Q408" s="42">
        <v>2675520.0</v>
      </c>
    </row>
    <row r="409" ht="14.25" customHeight="1">
      <c r="A409" s="41" t="s">
        <v>122</v>
      </c>
      <c r="B409" s="42">
        <v>989524.0</v>
      </c>
      <c r="C409" s="42">
        <v>972961.0</v>
      </c>
      <c r="D409" s="42">
        <v>955780.0</v>
      </c>
      <c r="E409" s="42">
        <v>938233.0</v>
      </c>
      <c r="F409" s="42">
        <v>920449.0</v>
      </c>
      <c r="G409" s="42">
        <v>902505.0</v>
      </c>
      <c r="H409" s="42">
        <v>884381.0</v>
      </c>
      <c r="I409" s="42">
        <v>865592.0</v>
      </c>
      <c r="J409" s="42">
        <v>846418.0</v>
      </c>
      <c r="K409" s="42">
        <v>826701.0</v>
      </c>
      <c r="L409" s="42">
        <v>805724.0</v>
      </c>
      <c r="M409" s="42">
        <v>783324.0</v>
      </c>
      <c r="N409" s="42">
        <v>760950.0</v>
      </c>
      <c r="O409" s="42">
        <v>738467.0</v>
      </c>
      <c r="P409" s="42">
        <v>715216.0</v>
      </c>
      <c r="Q409" s="42">
        <v>691954.0</v>
      </c>
    </row>
    <row r="410" ht="14.25" customHeight="1">
      <c r="A410" s="41" t="s">
        <v>123</v>
      </c>
      <c r="B410" s="42">
        <v>1013926.0</v>
      </c>
      <c r="C410" s="42">
        <v>1001821.0</v>
      </c>
      <c r="D410" s="42">
        <v>989033.0</v>
      </c>
      <c r="E410" s="42">
        <v>975376.0</v>
      </c>
      <c r="F410" s="42">
        <v>961272.0</v>
      </c>
      <c r="G410" s="42">
        <v>946790.0</v>
      </c>
      <c r="H410" s="42">
        <v>932139.0</v>
      </c>
      <c r="I410" s="42">
        <v>916733.0</v>
      </c>
      <c r="J410" s="42">
        <v>900583.0</v>
      </c>
      <c r="K410" s="42">
        <v>883711.0</v>
      </c>
      <c r="L410" s="42">
        <v>865788.0</v>
      </c>
      <c r="M410" s="42">
        <v>846591.0</v>
      </c>
      <c r="N410" s="42">
        <v>826492.0</v>
      </c>
      <c r="O410" s="42">
        <v>805776.0</v>
      </c>
      <c r="P410" s="42">
        <v>784418.0</v>
      </c>
      <c r="Q410" s="42">
        <v>762864.0</v>
      </c>
    </row>
    <row r="411" ht="14.25" customHeight="1">
      <c r="A411" s="41" t="s">
        <v>124</v>
      </c>
      <c r="B411" s="42">
        <v>563640.0</v>
      </c>
      <c r="C411" s="42">
        <v>565588.0</v>
      </c>
      <c r="D411" s="42">
        <v>567448.0</v>
      </c>
      <c r="E411" s="42">
        <v>569163.0</v>
      </c>
      <c r="F411" s="42">
        <v>570661.0</v>
      </c>
      <c r="G411" s="42">
        <v>571863.0</v>
      </c>
      <c r="H411" s="42">
        <v>572685.0</v>
      </c>
      <c r="I411" s="42">
        <v>572983.0</v>
      </c>
      <c r="J411" s="42">
        <v>572591.0</v>
      </c>
      <c r="K411" s="42">
        <v>571366.0</v>
      </c>
      <c r="L411" s="42">
        <v>569211.0</v>
      </c>
      <c r="M411" s="42">
        <v>566009.0</v>
      </c>
      <c r="N411" s="42">
        <v>561572.0</v>
      </c>
      <c r="O411" s="42">
        <v>555951.0</v>
      </c>
      <c r="P411" s="42">
        <v>549534.0</v>
      </c>
      <c r="Q411" s="42">
        <v>542769.0</v>
      </c>
    </row>
    <row r="412" ht="14.25" customHeight="1">
      <c r="A412" s="41" t="s">
        <v>125</v>
      </c>
      <c r="B412" s="42">
        <v>684402.0</v>
      </c>
      <c r="C412" s="42">
        <v>686190.0</v>
      </c>
      <c r="D412" s="42">
        <v>688341.0</v>
      </c>
      <c r="E412" s="42">
        <v>690842.0</v>
      </c>
      <c r="F412" s="42">
        <v>693403.0</v>
      </c>
      <c r="G412" s="42">
        <v>695845.0</v>
      </c>
      <c r="H412" s="42">
        <v>697883.0</v>
      </c>
      <c r="I412" s="42">
        <v>699637.0</v>
      </c>
      <c r="J412" s="42">
        <v>700775.0</v>
      </c>
      <c r="K412" s="42">
        <v>701017.0</v>
      </c>
      <c r="L412" s="42">
        <v>700282.0</v>
      </c>
      <c r="M412" s="42">
        <v>698447.0</v>
      </c>
      <c r="N412" s="42">
        <v>695012.0</v>
      </c>
      <c r="O412" s="42">
        <v>690002.0</v>
      </c>
      <c r="P412" s="42">
        <v>684024.0</v>
      </c>
      <c r="Q412" s="42">
        <v>677933.0</v>
      </c>
    </row>
    <row r="413" ht="14.25" customHeight="1">
      <c r="A413" s="41" t="s">
        <v>126</v>
      </c>
      <c r="B413" s="48">
        <v>2.46</v>
      </c>
      <c r="C413" s="48">
        <v>2.47</v>
      </c>
      <c r="D413" s="48">
        <v>2.48</v>
      </c>
      <c r="E413" s="48">
        <v>2.49</v>
      </c>
      <c r="F413" s="48">
        <v>2.5</v>
      </c>
      <c r="G413" s="48">
        <v>2.51</v>
      </c>
      <c r="H413" s="48">
        <v>2.52</v>
      </c>
      <c r="I413" s="48">
        <v>2.53</v>
      </c>
      <c r="J413" s="48">
        <v>2.54</v>
      </c>
      <c r="K413" s="48">
        <v>2.55</v>
      </c>
      <c r="L413" s="48">
        <v>2.56</v>
      </c>
      <c r="M413" s="48">
        <v>2.57</v>
      </c>
      <c r="N413" s="48">
        <v>2.57</v>
      </c>
      <c r="O413" s="48">
        <v>2.58</v>
      </c>
      <c r="P413" s="48">
        <v>2.59</v>
      </c>
      <c r="Q413" s="48">
        <v>2.6</v>
      </c>
    </row>
    <row r="414" ht="14.25" customHeight="1">
      <c r="A414" s="40" t="s">
        <v>90</v>
      </c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4"/>
    </row>
    <row r="415" ht="14.25" customHeight="1">
      <c r="A415" s="41" t="s">
        <v>121</v>
      </c>
      <c r="B415" s="42">
        <v>734602.0</v>
      </c>
      <c r="C415" s="42">
        <v>726075.0</v>
      </c>
      <c r="D415" s="42">
        <v>717416.0</v>
      </c>
      <c r="E415" s="42">
        <v>708644.0</v>
      </c>
      <c r="F415" s="42">
        <v>699682.0</v>
      </c>
      <c r="G415" s="42">
        <v>690523.0</v>
      </c>
      <c r="H415" s="42">
        <v>681174.0</v>
      </c>
      <c r="I415" s="42">
        <v>671398.0</v>
      </c>
      <c r="J415" s="42">
        <v>661184.0</v>
      </c>
      <c r="K415" s="42">
        <v>650322.0</v>
      </c>
      <c r="L415" s="42">
        <v>638733.0</v>
      </c>
      <c r="M415" s="42">
        <v>626197.0</v>
      </c>
      <c r="N415" s="42">
        <v>612917.0</v>
      </c>
      <c r="O415" s="42">
        <v>598967.0</v>
      </c>
      <c r="P415" s="42">
        <v>584546.0</v>
      </c>
      <c r="Q415" s="42">
        <v>570133.0</v>
      </c>
    </row>
    <row r="416" ht="14.25" customHeight="1">
      <c r="A416" s="41" t="s">
        <v>122</v>
      </c>
      <c r="B416" s="42">
        <v>216965.0</v>
      </c>
      <c r="C416" s="42">
        <v>212188.0</v>
      </c>
      <c r="D416" s="42">
        <v>207340.0</v>
      </c>
      <c r="E416" s="42">
        <v>202488.0</v>
      </c>
      <c r="F416" s="42">
        <v>197548.0</v>
      </c>
      <c r="G416" s="42">
        <v>192560.0</v>
      </c>
      <c r="H416" s="42">
        <v>187548.0</v>
      </c>
      <c r="I416" s="42">
        <v>182382.0</v>
      </c>
      <c r="J416" s="42">
        <v>177141.0</v>
      </c>
      <c r="K416" s="42">
        <v>171744.0</v>
      </c>
      <c r="L416" s="42">
        <v>166178.0</v>
      </c>
      <c r="M416" s="42">
        <v>160304.0</v>
      </c>
      <c r="N416" s="42">
        <v>154411.0</v>
      </c>
      <c r="O416" s="42">
        <v>148451.0</v>
      </c>
      <c r="P416" s="42">
        <v>142429.0</v>
      </c>
      <c r="Q416" s="42">
        <v>136538.0</v>
      </c>
    </row>
    <row r="417" ht="14.25" customHeight="1">
      <c r="A417" s="41" t="s">
        <v>123</v>
      </c>
      <c r="B417" s="42">
        <v>217332.0</v>
      </c>
      <c r="C417" s="42">
        <v>213426.0</v>
      </c>
      <c r="D417" s="42">
        <v>209455.0</v>
      </c>
      <c r="E417" s="42">
        <v>205385.0</v>
      </c>
      <c r="F417" s="42">
        <v>201245.0</v>
      </c>
      <c r="G417" s="42">
        <v>197028.0</v>
      </c>
      <c r="H417" s="42">
        <v>192815.0</v>
      </c>
      <c r="I417" s="42">
        <v>188495.0</v>
      </c>
      <c r="J417" s="42">
        <v>184082.0</v>
      </c>
      <c r="K417" s="42">
        <v>179490.0</v>
      </c>
      <c r="L417" s="42">
        <v>174739.0</v>
      </c>
      <c r="M417" s="42">
        <v>169763.0</v>
      </c>
      <c r="N417" s="42">
        <v>164591.0</v>
      </c>
      <c r="O417" s="42">
        <v>159323.0</v>
      </c>
      <c r="P417" s="42">
        <v>154047.0</v>
      </c>
      <c r="Q417" s="42">
        <v>148775.0</v>
      </c>
    </row>
    <row r="418" ht="14.25" customHeight="1">
      <c r="A418" s="41" t="s">
        <v>124</v>
      </c>
      <c r="B418" s="42">
        <v>131174.0</v>
      </c>
      <c r="C418" s="42">
        <v>130747.0</v>
      </c>
      <c r="D418" s="42">
        <v>130282.0</v>
      </c>
      <c r="E418" s="42">
        <v>129772.0</v>
      </c>
      <c r="F418" s="42">
        <v>129215.0</v>
      </c>
      <c r="G418" s="42">
        <v>128600.0</v>
      </c>
      <c r="H418" s="42">
        <v>127913.0</v>
      </c>
      <c r="I418" s="42">
        <v>127131.0</v>
      </c>
      <c r="J418" s="42">
        <v>126217.0</v>
      </c>
      <c r="K418" s="42">
        <v>125150.0</v>
      </c>
      <c r="L418" s="42">
        <v>123907.0</v>
      </c>
      <c r="M418" s="42">
        <v>122470.0</v>
      </c>
      <c r="N418" s="42">
        <v>120827.0</v>
      </c>
      <c r="O418" s="42">
        <v>118998.0</v>
      </c>
      <c r="P418" s="42">
        <v>117041.0</v>
      </c>
      <c r="Q418" s="42">
        <v>115036.0</v>
      </c>
    </row>
    <row r="419" ht="14.25" customHeight="1">
      <c r="A419" s="41" t="s">
        <v>125</v>
      </c>
      <c r="B419" s="42">
        <v>169131.0</v>
      </c>
      <c r="C419" s="42">
        <v>169714.0</v>
      </c>
      <c r="D419" s="42">
        <v>170339.0</v>
      </c>
      <c r="E419" s="42">
        <v>170999.0</v>
      </c>
      <c r="F419" s="42">
        <v>171674.0</v>
      </c>
      <c r="G419" s="42">
        <v>172335.0</v>
      </c>
      <c r="H419" s="42">
        <v>172898.0</v>
      </c>
      <c r="I419" s="42">
        <v>173390.0</v>
      </c>
      <c r="J419" s="42">
        <v>173744.0</v>
      </c>
      <c r="K419" s="42">
        <v>173938.0</v>
      </c>
      <c r="L419" s="42">
        <v>173909.0</v>
      </c>
      <c r="M419" s="42">
        <v>173660.0</v>
      </c>
      <c r="N419" s="42">
        <v>173088.0</v>
      </c>
      <c r="O419" s="42">
        <v>172195.0</v>
      </c>
      <c r="P419" s="42">
        <v>171029.0</v>
      </c>
      <c r="Q419" s="42">
        <v>169784.0</v>
      </c>
    </row>
    <row r="420" ht="14.25" customHeight="1">
      <c r="A420" s="41" t="s">
        <v>126</v>
      </c>
      <c r="B420" s="48">
        <v>2.49</v>
      </c>
      <c r="C420" s="48">
        <v>2.5</v>
      </c>
      <c r="D420" s="48">
        <v>2.51</v>
      </c>
      <c r="E420" s="48">
        <v>2.53</v>
      </c>
      <c r="F420" s="48">
        <v>2.54</v>
      </c>
      <c r="G420" s="48">
        <v>2.56</v>
      </c>
      <c r="H420" s="48">
        <v>2.58</v>
      </c>
      <c r="I420" s="48">
        <v>2.59</v>
      </c>
      <c r="J420" s="48">
        <v>2.61</v>
      </c>
      <c r="K420" s="48">
        <v>2.63</v>
      </c>
      <c r="L420" s="48">
        <v>2.64</v>
      </c>
      <c r="M420" s="48">
        <v>2.66</v>
      </c>
      <c r="N420" s="48">
        <v>2.68</v>
      </c>
      <c r="O420" s="48">
        <v>2.7</v>
      </c>
      <c r="P420" s="48">
        <v>2.72</v>
      </c>
      <c r="Q420" s="48">
        <v>2.74</v>
      </c>
    </row>
    <row r="421" ht="14.25" customHeight="1">
      <c r="A421" s="40" t="s">
        <v>65</v>
      </c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4"/>
    </row>
    <row r="422" ht="14.25" customHeight="1">
      <c r="A422" s="41" t="s">
        <v>121</v>
      </c>
      <c r="B422" s="42">
        <v>734602.0</v>
      </c>
      <c r="C422" s="42">
        <v>726075.0</v>
      </c>
      <c r="D422" s="42">
        <v>717416.0</v>
      </c>
      <c r="E422" s="42">
        <v>708644.0</v>
      </c>
      <c r="F422" s="42">
        <v>699682.0</v>
      </c>
      <c r="G422" s="42">
        <v>690523.0</v>
      </c>
      <c r="H422" s="42">
        <v>681174.0</v>
      </c>
      <c r="I422" s="42">
        <v>671398.0</v>
      </c>
      <c r="J422" s="42">
        <v>661184.0</v>
      </c>
      <c r="K422" s="42">
        <v>650322.0</v>
      </c>
      <c r="L422" s="42">
        <v>638733.0</v>
      </c>
      <c r="M422" s="42">
        <v>626197.0</v>
      </c>
      <c r="N422" s="42">
        <v>612917.0</v>
      </c>
      <c r="O422" s="42">
        <v>598967.0</v>
      </c>
      <c r="P422" s="42">
        <v>584546.0</v>
      </c>
      <c r="Q422" s="42">
        <v>570133.0</v>
      </c>
    </row>
    <row r="423" ht="14.25" customHeight="1">
      <c r="A423" s="41" t="s">
        <v>122</v>
      </c>
      <c r="B423" s="42">
        <v>216965.0</v>
      </c>
      <c r="C423" s="42">
        <v>212188.0</v>
      </c>
      <c r="D423" s="42">
        <v>207340.0</v>
      </c>
      <c r="E423" s="42">
        <v>202488.0</v>
      </c>
      <c r="F423" s="42">
        <v>197548.0</v>
      </c>
      <c r="G423" s="42">
        <v>192560.0</v>
      </c>
      <c r="H423" s="42">
        <v>187548.0</v>
      </c>
      <c r="I423" s="42">
        <v>182382.0</v>
      </c>
      <c r="J423" s="42">
        <v>177141.0</v>
      </c>
      <c r="K423" s="42">
        <v>171744.0</v>
      </c>
      <c r="L423" s="42">
        <v>166178.0</v>
      </c>
      <c r="M423" s="42">
        <v>160304.0</v>
      </c>
      <c r="N423" s="42">
        <v>154411.0</v>
      </c>
      <c r="O423" s="42">
        <v>148451.0</v>
      </c>
      <c r="P423" s="42">
        <v>142429.0</v>
      </c>
      <c r="Q423" s="42">
        <v>136538.0</v>
      </c>
    </row>
    <row r="424" ht="14.25" customHeight="1">
      <c r="A424" s="41" t="s">
        <v>123</v>
      </c>
      <c r="B424" s="42">
        <v>217332.0</v>
      </c>
      <c r="C424" s="42">
        <v>213426.0</v>
      </c>
      <c r="D424" s="42">
        <v>209455.0</v>
      </c>
      <c r="E424" s="42">
        <v>205385.0</v>
      </c>
      <c r="F424" s="42">
        <v>201245.0</v>
      </c>
      <c r="G424" s="42">
        <v>197028.0</v>
      </c>
      <c r="H424" s="42">
        <v>192815.0</v>
      </c>
      <c r="I424" s="42">
        <v>188495.0</v>
      </c>
      <c r="J424" s="42">
        <v>184082.0</v>
      </c>
      <c r="K424" s="42">
        <v>179490.0</v>
      </c>
      <c r="L424" s="42">
        <v>174739.0</v>
      </c>
      <c r="M424" s="42">
        <v>169763.0</v>
      </c>
      <c r="N424" s="42">
        <v>164591.0</v>
      </c>
      <c r="O424" s="42">
        <v>159323.0</v>
      </c>
      <c r="P424" s="42">
        <v>154047.0</v>
      </c>
      <c r="Q424" s="42">
        <v>148775.0</v>
      </c>
    </row>
    <row r="425" ht="14.25" customHeight="1">
      <c r="A425" s="41" t="s">
        <v>124</v>
      </c>
      <c r="B425" s="42">
        <v>131174.0</v>
      </c>
      <c r="C425" s="42">
        <v>130747.0</v>
      </c>
      <c r="D425" s="42">
        <v>130282.0</v>
      </c>
      <c r="E425" s="42">
        <v>129772.0</v>
      </c>
      <c r="F425" s="42">
        <v>129215.0</v>
      </c>
      <c r="G425" s="42">
        <v>128600.0</v>
      </c>
      <c r="H425" s="42">
        <v>127913.0</v>
      </c>
      <c r="I425" s="42">
        <v>127131.0</v>
      </c>
      <c r="J425" s="42">
        <v>126217.0</v>
      </c>
      <c r="K425" s="42">
        <v>125150.0</v>
      </c>
      <c r="L425" s="42">
        <v>123907.0</v>
      </c>
      <c r="M425" s="42">
        <v>122470.0</v>
      </c>
      <c r="N425" s="42">
        <v>120827.0</v>
      </c>
      <c r="O425" s="42">
        <v>118998.0</v>
      </c>
      <c r="P425" s="42">
        <v>117041.0</v>
      </c>
      <c r="Q425" s="42">
        <v>115036.0</v>
      </c>
    </row>
    <row r="426" ht="14.25" customHeight="1">
      <c r="A426" s="41" t="s">
        <v>125</v>
      </c>
      <c r="B426" s="42">
        <v>169131.0</v>
      </c>
      <c r="C426" s="42">
        <v>169714.0</v>
      </c>
      <c r="D426" s="42">
        <v>170339.0</v>
      </c>
      <c r="E426" s="42">
        <v>170999.0</v>
      </c>
      <c r="F426" s="42">
        <v>171674.0</v>
      </c>
      <c r="G426" s="42">
        <v>172335.0</v>
      </c>
      <c r="H426" s="42">
        <v>172898.0</v>
      </c>
      <c r="I426" s="42">
        <v>173390.0</v>
      </c>
      <c r="J426" s="42">
        <v>173744.0</v>
      </c>
      <c r="K426" s="42">
        <v>173938.0</v>
      </c>
      <c r="L426" s="42">
        <v>173909.0</v>
      </c>
      <c r="M426" s="42">
        <v>173660.0</v>
      </c>
      <c r="N426" s="42">
        <v>173088.0</v>
      </c>
      <c r="O426" s="42">
        <v>172195.0</v>
      </c>
      <c r="P426" s="42">
        <v>171029.0</v>
      </c>
      <c r="Q426" s="42">
        <v>169784.0</v>
      </c>
    </row>
    <row r="427" ht="14.25" customHeight="1">
      <c r="A427" s="41" t="s">
        <v>126</v>
      </c>
      <c r="B427" s="48">
        <v>2.49</v>
      </c>
      <c r="C427" s="48">
        <v>2.5</v>
      </c>
      <c r="D427" s="48">
        <v>2.51</v>
      </c>
      <c r="E427" s="48">
        <v>2.53</v>
      </c>
      <c r="F427" s="48">
        <v>2.54</v>
      </c>
      <c r="G427" s="48">
        <v>2.56</v>
      </c>
      <c r="H427" s="48">
        <v>2.58</v>
      </c>
      <c r="I427" s="48">
        <v>2.59</v>
      </c>
      <c r="J427" s="48">
        <v>2.61</v>
      </c>
      <c r="K427" s="48">
        <v>2.63</v>
      </c>
      <c r="L427" s="48">
        <v>2.64</v>
      </c>
      <c r="M427" s="48">
        <v>2.66</v>
      </c>
      <c r="N427" s="48">
        <v>2.68</v>
      </c>
      <c r="O427" s="48">
        <v>2.7</v>
      </c>
      <c r="P427" s="48">
        <v>2.72</v>
      </c>
      <c r="Q427" s="48">
        <v>2.74</v>
      </c>
    </row>
    <row r="428" ht="14.25" customHeight="1">
      <c r="A428" s="40" t="s">
        <v>91</v>
      </c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4"/>
    </row>
    <row r="429" ht="14.25" customHeight="1">
      <c r="A429" s="41" t="s">
        <v>121</v>
      </c>
      <c r="B429" s="42">
        <v>319209.0</v>
      </c>
      <c r="C429" s="42">
        <v>316689.0</v>
      </c>
      <c r="D429" s="42">
        <v>314028.0</v>
      </c>
      <c r="E429" s="42">
        <v>311285.0</v>
      </c>
      <c r="F429" s="42">
        <v>308464.0</v>
      </c>
      <c r="G429" s="42">
        <v>305581.0</v>
      </c>
      <c r="H429" s="42">
        <v>302650.0</v>
      </c>
      <c r="I429" s="42">
        <v>299513.0</v>
      </c>
      <c r="J429" s="42">
        <v>296204.0</v>
      </c>
      <c r="K429" s="42">
        <v>292704.0</v>
      </c>
      <c r="L429" s="42">
        <v>288924.0</v>
      </c>
      <c r="M429" s="42">
        <v>284850.0</v>
      </c>
      <c r="N429" s="42">
        <v>280577.0</v>
      </c>
      <c r="O429" s="42">
        <v>276053.0</v>
      </c>
      <c r="P429" s="42">
        <v>271398.0</v>
      </c>
      <c r="Q429" s="42">
        <v>266735.0</v>
      </c>
    </row>
    <row r="430" ht="14.25" customHeight="1">
      <c r="A430" s="41" t="s">
        <v>122</v>
      </c>
      <c r="B430" s="42">
        <v>107685.0</v>
      </c>
      <c r="C430" s="42">
        <v>105859.0</v>
      </c>
      <c r="D430" s="42">
        <v>103926.0</v>
      </c>
      <c r="E430" s="42">
        <v>101970.0</v>
      </c>
      <c r="F430" s="42">
        <v>99998.0</v>
      </c>
      <c r="G430" s="42">
        <v>98027.0</v>
      </c>
      <c r="H430" s="42">
        <v>96069.0</v>
      </c>
      <c r="I430" s="42">
        <v>94024.0</v>
      </c>
      <c r="J430" s="42">
        <v>91961.0</v>
      </c>
      <c r="K430" s="42">
        <v>89883.0</v>
      </c>
      <c r="L430" s="42">
        <v>87719.0</v>
      </c>
      <c r="M430" s="42">
        <v>85461.0</v>
      </c>
      <c r="N430" s="42">
        <v>83246.0</v>
      </c>
      <c r="O430" s="42">
        <v>80985.0</v>
      </c>
      <c r="P430" s="42">
        <v>78719.0</v>
      </c>
      <c r="Q430" s="42">
        <v>76495.0</v>
      </c>
    </row>
    <row r="431" ht="14.25" customHeight="1">
      <c r="A431" s="41" t="s">
        <v>123</v>
      </c>
      <c r="B431" s="42">
        <v>97151.0</v>
      </c>
      <c r="C431" s="42">
        <v>95946.0</v>
      </c>
      <c r="D431" s="42">
        <v>94663.0</v>
      </c>
      <c r="E431" s="42">
        <v>93308.0</v>
      </c>
      <c r="F431" s="42">
        <v>91902.0</v>
      </c>
      <c r="G431" s="42">
        <v>90484.0</v>
      </c>
      <c r="H431" s="42">
        <v>89082.0</v>
      </c>
      <c r="I431" s="42">
        <v>87607.0</v>
      </c>
      <c r="J431" s="42">
        <v>86072.0</v>
      </c>
      <c r="K431" s="42">
        <v>84492.0</v>
      </c>
      <c r="L431" s="42">
        <v>82845.0</v>
      </c>
      <c r="M431" s="42">
        <v>81165.0</v>
      </c>
      <c r="N431" s="42">
        <v>79439.0</v>
      </c>
      <c r="O431" s="42">
        <v>77664.0</v>
      </c>
      <c r="P431" s="42">
        <v>75881.0</v>
      </c>
      <c r="Q431" s="42">
        <v>74076.0</v>
      </c>
    </row>
    <row r="432" ht="14.25" customHeight="1">
      <c r="A432" s="41" t="s">
        <v>124</v>
      </c>
      <c r="B432" s="42">
        <v>52559.0</v>
      </c>
      <c r="C432" s="42">
        <v>52700.0</v>
      </c>
      <c r="D432" s="42">
        <v>52839.0</v>
      </c>
      <c r="E432" s="42">
        <v>52961.0</v>
      </c>
      <c r="F432" s="42">
        <v>53066.0</v>
      </c>
      <c r="G432" s="42">
        <v>53138.0</v>
      </c>
      <c r="H432" s="42">
        <v>53183.0</v>
      </c>
      <c r="I432" s="42">
        <v>53185.0</v>
      </c>
      <c r="J432" s="42">
        <v>53137.0</v>
      </c>
      <c r="K432" s="42">
        <v>53030.0</v>
      </c>
      <c r="L432" s="42">
        <v>52865.0</v>
      </c>
      <c r="M432" s="42">
        <v>52630.0</v>
      </c>
      <c r="N432" s="42">
        <v>52322.0</v>
      </c>
      <c r="O432" s="42">
        <v>51949.0</v>
      </c>
      <c r="P432" s="42">
        <v>51538.0</v>
      </c>
      <c r="Q432" s="42">
        <v>51103.0</v>
      </c>
    </row>
    <row r="433" ht="14.25" customHeight="1">
      <c r="A433" s="41" t="s">
        <v>125</v>
      </c>
      <c r="B433" s="42">
        <v>61814.0</v>
      </c>
      <c r="C433" s="42">
        <v>62184.0</v>
      </c>
      <c r="D433" s="42">
        <v>62600.0</v>
      </c>
      <c r="E433" s="42">
        <v>63046.0</v>
      </c>
      <c r="F433" s="42">
        <v>63498.0</v>
      </c>
      <c r="G433" s="42">
        <v>63932.0</v>
      </c>
      <c r="H433" s="42">
        <v>64316.0</v>
      </c>
      <c r="I433" s="42">
        <v>64697.0</v>
      </c>
      <c r="J433" s="42">
        <v>65034.0</v>
      </c>
      <c r="K433" s="42">
        <v>65299.0</v>
      </c>
      <c r="L433" s="42">
        <v>65495.0</v>
      </c>
      <c r="M433" s="42">
        <v>65594.0</v>
      </c>
      <c r="N433" s="42">
        <v>65570.0</v>
      </c>
      <c r="O433" s="42">
        <v>65455.0</v>
      </c>
      <c r="P433" s="42">
        <v>65260.0</v>
      </c>
      <c r="Q433" s="42">
        <v>65061.0</v>
      </c>
    </row>
    <row r="434" ht="14.25" customHeight="1">
      <c r="A434" s="41" t="s">
        <v>126</v>
      </c>
      <c r="B434" s="48">
        <v>2.34</v>
      </c>
      <c r="C434" s="48">
        <v>2.35</v>
      </c>
      <c r="D434" s="48">
        <v>2.36</v>
      </c>
      <c r="E434" s="48">
        <v>2.37</v>
      </c>
      <c r="F434" s="48">
        <v>2.39</v>
      </c>
      <c r="G434" s="48">
        <v>2.4</v>
      </c>
      <c r="H434" s="48">
        <v>2.41</v>
      </c>
      <c r="I434" s="48">
        <v>2.42</v>
      </c>
      <c r="J434" s="48">
        <v>2.44</v>
      </c>
      <c r="K434" s="48">
        <v>2.45</v>
      </c>
      <c r="L434" s="48">
        <v>2.46</v>
      </c>
      <c r="M434" s="48">
        <v>2.48</v>
      </c>
      <c r="N434" s="48">
        <v>2.49</v>
      </c>
      <c r="O434" s="48">
        <v>2.5</v>
      </c>
      <c r="P434" s="48">
        <v>2.51</v>
      </c>
      <c r="Q434" s="48">
        <v>2.52</v>
      </c>
    </row>
    <row r="435" ht="14.25" customHeight="1">
      <c r="A435" s="40" t="s">
        <v>66</v>
      </c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4"/>
    </row>
    <row r="436" ht="14.25" customHeight="1">
      <c r="A436" s="41" t="s">
        <v>121</v>
      </c>
      <c r="B436" s="42">
        <v>319209.0</v>
      </c>
      <c r="C436" s="42">
        <v>316689.0</v>
      </c>
      <c r="D436" s="42">
        <v>314028.0</v>
      </c>
      <c r="E436" s="42">
        <v>311285.0</v>
      </c>
      <c r="F436" s="42">
        <v>308464.0</v>
      </c>
      <c r="G436" s="42">
        <v>305581.0</v>
      </c>
      <c r="H436" s="42">
        <v>302650.0</v>
      </c>
      <c r="I436" s="42">
        <v>299513.0</v>
      </c>
      <c r="J436" s="42">
        <v>296204.0</v>
      </c>
      <c r="K436" s="42">
        <v>292704.0</v>
      </c>
      <c r="L436" s="42">
        <v>288924.0</v>
      </c>
      <c r="M436" s="42">
        <v>284850.0</v>
      </c>
      <c r="N436" s="42">
        <v>280577.0</v>
      </c>
      <c r="O436" s="42">
        <v>276053.0</v>
      </c>
      <c r="P436" s="42">
        <v>271398.0</v>
      </c>
      <c r="Q436" s="42">
        <v>266735.0</v>
      </c>
    </row>
    <row r="437" ht="14.25" customHeight="1">
      <c r="A437" s="41" t="s">
        <v>122</v>
      </c>
      <c r="B437" s="42">
        <v>107685.0</v>
      </c>
      <c r="C437" s="42">
        <v>105859.0</v>
      </c>
      <c r="D437" s="42">
        <v>103926.0</v>
      </c>
      <c r="E437" s="42">
        <v>101970.0</v>
      </c>
      <c r="F437" s="42">
        <v>99998.0</v>
      </c>
      <c r="G437" s="42">
        <v>98027.0</v>
      </c>
      <c r="H437" s="42">
        <v>96069.0</v>
      </c>
      <c r="I437" s="42">
        <v>94024.0</v>
      </c>
      <c r="J437" s="42">
        <v>91961.0</v>
      </c>
      <c r="K437" s="42">
        <v>89883.0</v>
      </c>
      <c r="L437" s="42">
        <v>87719.0</v>
      </c>
      <c r="M437" s="42">
        <v>85461.0</v>
      </c>
      <c r="N437" s="42">
        <v>83246.0</v>
      </c>
      <c r="O437" s="42">
        <v>80985.0</v>
      </c>
      <c r="P437" s="42">
        <v>78719.0</v>
      </c>
      <c r="Q437" s="42">
        <v>76495.0</v>
      </c>
    </row>
    <row r="438" ht="14.25" customHeight="1">
      <c r="A438" s="41" t="s">
        <v>123</v>
      </c>
      <c r="B438" s="42">
        <v>97151.0</v>
      </c>
      <c r="C438" s="42">
        <v>95946.0</v>
      </c>
      <c r="D438" s="42">
        <v>94663.0</v>
      </c>
      <c r="E438" s="42">
        <v>93308.0</v>
      </c>
      <c r="F438" s="42">
        <v>91902.0</v>
      </c>
      <c r="G438" s="42">
        <v>90484.0</v>
      </c>
      <c r="H438" s="42">
        <v>89082.0</v>
      </c>
      <c r="I438" s="42">
        <v>87607.0</v>
      </c>
      <c r="J438" s="42">
        <v>86072.0</v>
      </c>
      <c r="K438" s="42">
        <v>84492.0</v>
      </c>
      <c r="L438" s="42">
        <v>82845.0</v>
      </c>
      <c r="M438" s="42">
        <v>81165.0</v>
      </c>
      <c r="N438" s="42">
        <v>79439.0</v>
      </c>
      <c r="O438" s="42">
        <v>77664.0</v>
      </c>
      <c r="P438" s="42">
        <v>75881.0</v>
      </c>
      <c r="Q438" s="42">
        <v>74076.0</v>
      </c>
    </row>
    <row r="439" ht="14.25" customHeight="1">
      <c r="A439" s="41" t="s">
        <v>124</v>
      </c>
      <c r="B439" s="42">
        <v>52559.0</v>
      </c>
      <c r="C439" s="42">
        <v>52700.0</v>
      </c>
      <c r="D439" s="42">
        <v>52839.0</v>
      </c>
      <c r="E439" s="42">
        <v>52961.0</v>
      </c>
      <c r="F439" s="42">
        <v>53066.0</v>
      </c>
      <c r="G439" s="42">
        <v>53138.0</v>
      </c>
      <c r="H439" s="42">
        <v>53183.0</v>
      </c>
      <c r="I439" s="42">
        <v>53185.0</v>
      </c>
      <c r="J439" s="42">
        <v>53137.0</v>
      </c>
      <c r="K439" s="42">
        <v>53030.0</v>
      </c>
      <c r="L439" s="42">
        <v>52865.0</v>
      </c>
      <c r="M439" s="42">
        <v>52630.0</v>
      </c>
      <c r="N439" s="42">
        <v>52322.0</v>
      </c>
      <c r="O439" s="42">
        <v>51949.0</v>
      </c>
      <c r="P439" s="42">
        <v>51538.0</v>
      </c>
      <c r="Q439" s="42">
        <v>51103.0</v>
      </c>
    </row>
    <row r="440" ht="14.25" customHeight="1">
      <c r="A440" s="41" t="s">
        <v>125</v>
      </c>
      <c r="B440" s="42">
        <v>61814.0</v>
      </c>
      <c r="C440" s="42">
        <v>62184.0</v>
      </c>
      <c r="D440" s="42">
        <v>62600.0</v>
      </c>
      <c r="E440" s="42">
        <v>63046.0</v>
      </c>
      <c r="F440" s="42">
        <v>63498.0</v>
      </c>
      <c r="G440" s="42">
        <v>63932.0</v>
      </c>
      <c r="H440" s="42">
        <v>64316.0</v>
      </c>
      <c r="I440" s="42">
        <v>64697.0</v>
      </c>
      <c r="J440" s="42">
        <v>65034.0</v>
      </c>
      <c r="K440" s="42">
        <v>65299.0</v>
      </c>
      <c r="L440" s="42">
        <v>65495.0</v>
      </c>
      <c r="M440" s="42">
        <v>65594.0</v>
      </c>
      <c r="N440" s="42">
        <v>65570.0</v>
      </c>
      <c r="O440" s="42">
        <v>65455.0</v>
      </c>
      <c r="P440" s="42">
        <v>65260.0</v>
      </c>
      <c r="Q440" s="42">
        <v>65061.0</v>
      </c>
    </row>
    <row r="441" ht="14.25" customHeight="1">
      <c r="A441" s="41" t="s">
        <v>126</v>
      </c>
      <c r="B441" s="48">
        <v>2.34</v>
      </c>
      <c r="C441" s="48">
        <v>2.35</v>
      </c>
      <c r="D441" s="48">
        <v>2.36</v>
      </c>
      <c r="E441" s="48">
        <v>2.37</v>
      </c>
      <c r="F441" s="48">
        <v>2.39</v>
      </c>
      <c r="G441" s="48">
        <v>2.4</v>
      </c>
      <c r="H441" s="48">
        <v>2.41</v>
      </c>
      <c r="I441" s="48">
        <v>2.42</v>
      </c>
      <c r="J441" s="48">
        <v>2.44</v>
      </c>
      <c r="K441" s="48">
        <v>2.45</v>
      </c>
      <c r="L441" s="48">
        <v>2.46</v>
      </c>
      <c r="M441" s="48">
        <v>2.48</v>
      </c>
      <c r="N441" s="48">
        <v>2.49</v>
      </c>
      <c r="O441" s="48">
        <v>2.5</v>
      </c>
      <c r="P441" s="48">
        <v>2.51</v>
      </c>
      <c r="Q441" s="48">
        <v>2.52</v>
      </c>
    </row>
    <row r="442" ht="14.25" customHeight="1">
      <c r="A442" s="40" t="s">
        <v>92</v>
      </c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4"/>
    </row>
    <row r="443" ht="14.25" customHeight="1">
      <c r="A443" s="41" t="s">
        <v>121</v>
      </c>
      <c r="B443" s="42">
        <v>1038395.0</v>
      </c>
      <c r="C443" s="42">
        <v>1034952.0</v>
      </c>
      <c r="D443" s="42">
        <v>1031068.0</v>
      </c>
      <c r="E443" s="42">
        <v>1026736.0</v>
      </c>
      <c r="F443" s="42">
        <v>1022213.0</v>
      </c>
      <c r="G443" s="42">
        <v>1017431.0</v>
      </c>
      <c r="H443" s="42">
        <v>1012472.0</v>
      </c>
      <c r="I443" s="42">
        <v>1006904.0</v>
      </c>
      <c r="J443" s="42">
        <v>1000949.0</v>
      </c>
      <c r="K443" s="42">
        <v>994466.0</v>
      </c>
      <c r="L443" s="42">
        <v>987337.0</v>
      </c>
      <c r="M443" s="42">
        <v>979370.0</v>
      </c>
      <c r="N443" s="42">
        <v>970834.0</v>
      </c>
      <c r="O443" s="42">
        <v>961661.0</v>
      </c>
      <c r="P443" s="42">
        <v>951948.0</v>
      </c>
      <c r="Q443" s="42">
        <v>942076.0</v>
      </c>
    </row>
    <row r="444" ht="14.25" customHeight="1">
      <c r="A444" s="41" t="s">
        <v>122</v>
      </c>
      <c r="B444" s="42">
        <v>391346.0</v>
      </c>
      <c r="C444" s="42">
        <v>385986.0</v>
      </c>
      <c r="D444" s="42">
        <v>380304.0</v>
      </c>
      <c r="E444" s="42">
        <v>374340.0</v>
      </c>
      <c r="F444" s="42">
        <v>368273.0</v>
      </c>
      <c r="G444" s="42">
        <v>362097.0</v>
      </c>
      <c r="H444" s="42">
        <v>355856.0</v>
      </c>
      <c r="I444" s="42">
        <v>349269.0</v>
      </c>
      <c r="J444" s="42">
        <v>342622.0</v>
      </c>
      <c r="K444" s="42">
        <v>335762.0</v>
      </c>
      <c r="L444" s="42">
        <v>328655.0</v>
      </c>
      <c r="M444" s="42">
        <v>321180.0</v>
      </c>
      <c r="N444" s="42">
        <v>313745.0</v>
      </c>
      <c r="O444" s="42">
        <v>306137.0</v>
      </c>
      <c r="P444" s="42">
        <v>298277.0</v>
      </c>
      <c r="Q444" s="42">
        <v>290440.0</v>
      </c>
    </row>
    <row r="445" ht="14.25" customHeight="1">
      <c r="A445" s="41" t="s">
        <v>123</v>
      </c>
      <c r="B445" s="42">
        <v>338884.0</v>
      </c>
      <c r="C445" s="42">
        <v>337058.0</v>
      </c>
      <c r="D445" s="42">
        <v>334903.0</v>
      </c>
      <c r="E445" s="42">
        <v>332363.0</v>
      </c>
      <c r="F445" s="42">
        <v>329732.0</v>
      </c>
      <c r="G445" s="42">
        <v>326962.0</v>
      </c>
      <c r="H445" s="42">
        <v>324207.0</v>
      </c>
      <c r="I445" s="42">
        <v>321181.0</v>
      </c>
      <c r="J445" s="42">
        <v>318009.0</v>
      </c>
      <c r="K445" s="42">
        <v>314790.0</v>
      </c>
      <c r="L445" s="42">
        <v>311450.0</v>
      </c>
      <c r="M445" s="42">
        <v>307923.0</v>
      </c>
      <c r="N445" s="42">
        <v>304149.0</v>
      </c>
      <c r="O445" s="42">
        <v>300243.0</v>
      </c>
      <c r="P445" s="42">
        <v>296240.0</v>
      </c>
      <c r="Q445" s="42">
        <v>292052.0</v>
      </c>
    </row>
    <row r="446" ht="14.25" customHeight="1">
      <c r="A446" s="41" t="s">
        <v>124</v>
      </c>
      <c r="B446" s="42">
        <v>146090.0</v>
      </c>
      <c r="C446" s="42">
        <v>148378.0</v>
      </c>
      <c r="D446" s="42">
        <v>150710.0</v>
      </c>
      <c r="E446" s="42">
        <v>153080.0</v>
      </c>
      <c r="F446" s="42">
        <v>155423.0</v>
      </c>
      <c r="G446" s="42">
        <v>157732.0</v>
      </c>
      <c r="H446" s="42">
        <v>159989.0</v>
      </c>
      <c r="I446" s="42">
        <v>162187.0</v>
      </c>
      <c r="J446" s="42">
        <v>164278.0</v>
      </c>
      <c r="K446" s="42">
        <v>166238.0</v>
      </c>
      <c r="L446" s="42">
        <v>168083.0</v>
      </c>
      <c r="M446" s="42">
        <v>169775.0</v>
      </c>
      <c r="N446" s="42">
        <v>171304.0</v>
      </c>
      <c r="O446" s="42">
        <v>172687.0</v>
      </c>
      <c r="P446" s="42">
        <v>173986.0</v>
      </c>
      <c r="Q446" s="42">
        <v>175258.0</v>
      </c>
    </row>
    <row r="447" ht="14.25" customHeight="1">
      <c r="A447" s="41" t="s">
        <v>125</v>
      </c>
      <c r="B447" s="42">
        <v>162075.0</v>
      </c>
      <c r="C447" s="42">
        <v>163530.0</v>
      </c>
      <c r="D447" s="42">
        <v>165151.0</v>
      </c>
      <c r="E447" s="42">
        <v>166953.0</v>
      </c>
      <c r="F447" s="42">
        <v>168785.0</v>
      </c>
      <c r="G447" s="42">
        <v>170640.0</v>
      </c>
      <c r="H447" s="42">
        <v>172420.0</v>
      </c>
      <c r="I447" s="42">
        <v>174267.0</v>
      </c>
      <c r="J447" s="42">
        <v>176040.0</v>
      </c>
      <c r="K447" s="42">
        <v>177676.0</v>
      </c>
      <c r="L447" s="42">
        <v>179149.0</v>
      </c>
      <c r="M447" s="42">
        <v>180492.0</v>
      </c>
      <c r="N447" s="42">
        <v>181636.0</v>
      </c>
      <c r="O447" s="42">
        <v>182594.0</v>
      </c>
      <c r="P447" s="42">
        <v>183445.0</v>
      </c>
      <c r="Q447" s="42">
        <v>184326.0</v>
      </c>
    </row>
    <row r="448" ht="14.25" customHeight="1">
      <c r="A448" s="41" t="s">
        <v>126</v>
      </c>
      <c r="B448" s="48">
        <v>2.16</v>
      </c>
      <c r="C448" s="48">
        <v>2.17</v>
      </c>
      <c r="D448" s="48">
        <v>2.18</v>
      </c>
      <c r="E448" s="48">
        <v>2.19</v>
      </c>
      <c r="F448" s="48">
        <v>2.2</v>
      </c>
      <c r="G448" s="48">
        <v>2.21</v>
      </c>
      <c r="H448" s="48">
        <v>2.23</v>
      </c>
      <c r="I448" s="48">
        <v>2.24</v>
      </c>
      <c r="J448" s="48">
        <v>2.25</v>
      </c>
      <c r="K448" s="48">
        <v>2.27</v>
      </c>
      <c r="L448" s="48">
        <v>2.28</v>
      </c>
      <c r="M448" s="48">
        <v>2.29</v>
      </c>
      <c r="N448" s="48">
        <v>2.3</v>
      </c>
      <c r="O448" s="48">
        <v>2.32</v>
      </c>
      <c r="P448" s="48">
        <v>2.33</v>
      </c>
      <c r="Q448" s="48">
        <v>2.34</v>
      </c>
    </row>
    <row r="449" ht="14.25" customHeight="1">
      <c r="A449" s="40" t="s">
        <v>67</v>
      </c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4"/>
    </row>
    <row r="450" ht="14.25" customHeight="1">
      <c r="A450" s="41" t="s">
        <v>121</v>
      </c>
      <c r="B450" s="42">
        <v>542902.0</v>
      </c>
      <c r="C450" s="42">
        <v>541128.0</v>
      </c>
      <c r="D450" s="42">
        <v>539142.0</v>
      </c>
      <c r="E450" s="42">
        <v>536928.0</v>
      </c>
      <c r="F450" s="42">
        <v>534613.0</v>
      </c>
      <c r="G450" s="42">
        <v>532173.0</v>
      </c>
      <c r="H450" s="42">
        <v>529622.0</v>
      </c>
      <c r="I450" s="42">
        <v>526768.0</v>
      </c>
      <c r="J450" s="42">
        <v>523711.0</v>
      </c>
      <c r="K450" s="42">
        <v>520365.0</v>
      </c>
      <c r="L450" s="42">
        <v>516718.0</v>
      </c>
      <c r="M450" s="42">
        <v>512621.0</v>
      </c>
      <c r="N450" s="42">
        <v>508236.0</v>
      </c>
      <c r="O450" s="42">
        <v>503536.0</v>
      </c>
      <c r="P450" s="42">
        <v>498530.0</v>
      </c>
      <c r="Q450" s="42">
        <v>493453.0</v>
      </c>
    </row>
    <row r="451" ht="14.25" customHeight="1">
      <c r="A451" s="41" t="s">
        <v>122</v>
      </c>
      <c r="B451" s="42">
        <v>207250.0</v>
      </c>
      <c r="C451" s="42">
        <v>204213.0</v>
      </c>
      <c r="D451" s="42">
        <v>201001.0</v>
      </c>
      <c r="E451" s="42">
        <v>197638.0</v>
      </c>
      <c r="F451" s="42">
        <v>194218.0</v>
      </c>
      <c r="G451" s="42">
        <v>190749.0</v>
      </c>
      <c r="H451" s="42">
        <v>187220.0</v>
      </c>
      <c r="I451" s="42">
        <v>183511.0</v>
      </c>
      <c r="J451" s="42">
        <v>179780.0</v>
      </c>
      <c r="K451" s="42">
        <v>175891.0</v>
      </c>
      <c r="L451" s="42">
        <v>171917.0</v>
      </c>
      <c r="M451" s="42">
        <v>167711.0</v>
      </c>
      <c r="N451" s="42">
        <v>163536.0</v>
      </c>
      <c r="O451" s="42">
        <v>159264.0</v>
      </c>
      <c r="P451" s="42">
        <v>154837.0</v>
      </c>
      <c r="Q451" s="42">
        <v>150421.0</v>
      </c>
    </row>
    <row r="452" ht="14.25" customHeight="1">
      <c r="A452" s="41" t="s">
        <v>123</v>
      </c>
      <c r="B452" s="42">
        <v>179697.0</v>
      </c>
      <c r="C452" s="42">
        <v>178709.0</v>
      </c>
      <c r="D452" s="42">
        <v>177579.0</v>
      </c>
      <c r="E452" s="42">
        <v>176265.0</v>
      </c>
      <c r="F452" s="42">
        <v>174895.0</v>
      </c>
      <c r="G452" s="42">
        <v>173457.0</v>
      </c>
      <c r="H452" s="42">
        <v>172016.0</v>
      </c>
      <c r="I452" s="42">
        <v>170440.0</v>
      </c>
      <c r="J452" s="42">
        <v>168759.0</v>
      </c>
      <c r="K452" s="42">
        <v>167077.0</v>
      </c>
      <c r="L452" s="42">
        <v>165315.0</v>
      </c>
      <c r="M452" s="42">
        <v>163463.0</v>
      </c>
      <c r="N452" s="42">
        <v>161471.0</v>
      </c>
      <c r="O452" s="42">
        <v>159432.0</v>
      </c>
      <c r="P452" s="42">
        <v>157310.0</v>
      </c>
      <c r="Q452" s="42">
        <v>155114.0</v>
      </c>
    </row>
    <row r="453" ht="14.25" customHeight="1">
      <c r="A453" s="41" t="s">
        <v>124</v>
      </c>
      <c r="B453" s="42">
        <v>78515.0</v>
      </c>
      <c r="C453" s="42">
        <v>79851.0</v>
      </c>
      <c r="D453" s="42">
        <v>81216.0</v>
      </c>
      <c r="E453" s="42">
        <v>82608.0</v>
      </c>
      <c r="F453" s="42">
        <v>83997.0</v>
      </c>
      <c r="G453" s="42">
        <v>85367.0</v>
      </c>
      <c r="H453" s="42">
        <v>86716.0</v>
      </c>
      <c r="I453" s="42">
        <v>88048.0</v>
      </c>
      <c r="J453" s="42">
        <v>89330.0</v>
      </c>
      <c r="K453" s="42">
        <v>90553.0</v>
      </c>
      <c r="L453" s="42">
        <v>91712.0</v>
      </c>
      <c r="M453" s="42">
        <v>92797.0</v>
      </c>
      <c r="N453" s="42">
        <v>93797.0</v>
      </c>
      <c r="O453" s="42">
        <v>94723.0</v>
      </c>
      <c r="P453" s="42">
        <v>95608.0</v>
      </c>
      <c r="Q453" s="42">
        <v>96484.0</v>
      </c>
    </row>
    <row r="454" ht="14.25" customHeight="1">
      <c r="A454" s="41" t="s">
        <v>125</v>
      </c>
      <c r="B454" s="42">
        <v>77440.0</v>
      </c>
      <c r="C454" s="42">
        <v>78355.0</v>
      </c>
      <c r="D454" s="42">
        <v>79346.0</v>
      </c>
      <c r="E454" s="42">
        <v>80417.0</v>
      </c>
      <c r="F454" s="42">
        <v>81503.0</v>
      </c>
      <c r="G454" s="42">
        <v>82600.0</v>
      </c>
      <c r="H454" s="42">
        <v>83670.0</v>
      </c>
      <c r="I454" s="42">
        <v>84769.0</v>
      </c>
      <c r="J454" s="42">
        <v>85842.0</v>
      </c>
      <c r="K454" s="42">
        <v>86844.0</v>
      </c>
      <c r="L454" s="42">
        <v>87774.0</v>
      </c>
      <c r="M454" s="42">
        <v>88650.0</v>
      </c>
      <c r="N454" s="42">
        <v>89432.0</v>
      </c>
      <c r="O454" s="42">
        <v>90117.0</v>
      </c>
      <c r="P454" s="42">
        <v>90775.0</v>
      </c>
      <c r="Q454" s="42">
        <v>91434.0</v>
      </c>
    </row>
    <row r="455" ht="14.25" customHeight="1">
      <c r="A455" s="41" t="s">
        <v>126</v>
      </c>
      <c r="B455" s="48">
        <v>2.12</v>
      </c>
      <c r="C455" s="48">
        <v>2.13</v>
      </c>
      <c r="D455" s="48">
        <v>2.14</v>
      </c>
      <c r="E455" s="48">
        <v>2.16</v>
      </c>
      <c r="F455" s="48">
        <v>2.17</v>
      </c>
      <c r="G455" s="48">
        <v>2.18</v>
      </c>
      <c r="H455" s="48">
        <v>2.2</v>
      </c>
      <c r="I455" s="48">
        <v>2.21</v>
      </c>
      <c r="J455" s="48">
        <v>2.23</v>
      </c>
      <c r="K455" s="48">
        <v>2.24</v>
      </c>
      <c r="L455" s="48">
        <v>2.25</v>
      </c>
      <c r="M455" s="48">
        <v>2.27</v>
      </c>
      <c r="N455" s="48">
        <v>2.28</v>
      </c>
      <c r="O455" s="48">
        <v>2.3</v>
      </c>
      <c r="P455" s="48">
        <v>2.31</v>
      </c>
      <c r="Q455" s="48">
        <v>2.33</v>
      </c>
    </row>
    <row r="456" ht="14.25" customHeight="1">
      <c r="A456" s="40" t="s">
        <v>68</v>
      </c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4"/>
    </row>
    <row r="457" ht="14.25" customHeight="1">
      <c r="A457" s="41" t="s">
        <v>121</v>
      </c>
      <c r="B457" s="42">
        <v>163190.0</v>
      </c>
      <c r="C457" s="42">
        <v>162443.0</v>
      </c>
      <c r="D457" s="42">
        <v>161616.0</v>
      </c>
      <c r="E457" s="42">
        <v>160727.0</v>
      </c>
      <c r="F457" s="42">
        <v>159799.0</v>
      </c>
      <c r="G457" s="42">
        <v>158827.0</v>
      </c>
      <c r="H457" s="42">
        <v>157829.0</v>
      </c>
      <c r="I457" s="42">
        <v>156729.0</v>
      </c>
      <c r="J457" s="42">
        <v>155548.0</v>
      </c>
      <c r="K457" s="42">
        <v>154283.0</v>
      </c>
      <c r="L457" s="42">
        <v>152882.0</v>
      </c>
      <c r="M457" s="42">
        <v>151346.0</v>
      </c>
      <c r="N457" s="42">
        <v>149736.0</v>
      </c>
      <c r="O457" s="42">
        <v>148007.0</v>
      </c>
      <c r="P457" s="42">
        <v>146177.0</v>
      </c>
      <c r="Q457" s="42">
        <v>144289.0</v>
      </c>
    </row>
    <row r="458" ht="14.25" customHeight="1">
      <c r="A458" s="41" t="s">
        <v>122</v>
      </c>
      <c r="B458" s="42">
        <v>62201.0</v>
      </c>
      <c r="C458" s="42">
        <v>61370.0</v>
      </c>
      <c r="D458" s="42">
        <v>60485.0</v>
      </c>
      <c r="E458" s="42">
        <v>59567.0</v>
      </c>
      <c r="F458" s="42">
        <v>58628.0</v>
      </c>
      <c r="G458" s="42">
        <v>57678.0</v>
      </c>
      <c r="H458" s="42">
        <v>56723.0</v>
      </c>
      <c r="I458" s="42">
        <v>55715.0</v>
      </c>
      <c r="J458" s="42">
        <v>54690.0</v>
      </c>
      <c r="K458" s="42">
        <v>53645.0</v>
      </c>
      <c r="L458" s="42">
        <v>52530.0</v>
      </c>
      <c r="M458" s="42">
        <v>51373.0</v>
      </c>
      <c r="N458" s="42">
        <v>50241.0</v>
      </c>
      <c r="O458" s="42">
        <v>49071.0</v>
      </c>
      <c r="P458" s="42">
        <v>47851.0</v>
      </c>
      <c r="Q458" s="42">
        <v>46629.0</v>
      </c>
    </row>
    <row r="459" ht="14.25" customHeight="1">
      <c r="A459" s="41" t="s">
        <v>123</v>
      </c>
      <c r="B459" s="42">
        <v>53384.0</v>
      </c>
      <c r="C459" s="42">
        <v>52994.0</v>
      </c>
      <c r="D459" s="42">
        <v>52558.0</v>
      </c>
      <c r="E459" s="42">
        <v>52058.0</v>
      </c>
      <c r="F459" s="42">
        <v>51546.0</v>
      </c>
      <c r="G459" s="42">
        <v>51011.0</v>
      </c>
      <c r="H459" s="42">
        <v>50485.0</v>
      </c>
      <c r="I459" s="42">
        <v>49920.0</v>
      </c>
      <c r="J459" s="42">
        <v>49314.0</v>
      </c>
      <c r="K459" s="42">
        <v>48702.0</v>
      </c>
      <c r="L459" s="42">
        <v>48063.0</v>
      </c>
      <c r="M459" s="42">
        <v>47388.0</v>
      </c>
      <c r="N459" s="42">
        <v>46687.0</v>
      </c>
      <c r="O459" s="42">
        <v>45956.0</v>
      </c>
      <c r="P459" s="42">
        <v>45212.0</v>
      </c>
      <c r="Q459" s="42">
        <v>44415.0</v>
      </c>
    </row>
    <row r="460" ht="14.25" customHeight="1">
      <c r="A460" s="41" t="s">
        <v>124</v>
      </c>
      <c r="B460" s="42">
        <v>21747.0</v>
      </c>
      <c r="C460" s="42">
        <v>22072.0</v>
      </c>
      <c r="D460" s="42">
        <v>22395.0</v>
      </c>
      <c r="E460" s="42">
        <v>22726.0</v>
      </c>
      <c r="F460" s="42">
        <v>23049.0</v>
      </c>
      <c r="G460" s="42">
        <v>23364.0</v>
      </c>
      <c r="H460" s="42">
        <v>23666.0</v>
      </c>
      <c r="I460" s="42">
        <v>23955.0</v>
      </c>
      <c r="J460" s="42">
        <v>24226.0</v>
      </c>
      <c r="K460" s="42">
        <v>24469.0</v>
      </c>
      <c r="L460" s="42">
        <v>24698.0</v>
      </c>
      <c r="M460" s="42">
        <v>24894.0</v>
      </c>
      <c r="N460" s="42">
        <v>25063.0</v>
      </c>
      <c r="O460" s="42">
        <v>25206.0</v>
      </c>
      <c r="P460" s="42">
        <v>25333.0</v>
      </c>
      <c r="Q460" s="42">
        <v>25449.0</v>
      </c>
    </row>
    <row r="461" ht="14.25" customHeight="1">
      <c r="A461" s="41" t="s">
        <v>125</v>
      </c>
      <c r="B461" s="42">
        <v>25858.0</v>
      </c>
      <c r="C461" s="42">
        <v>26007.0</v>
      </c>
      <c r="D461" s="42">
        <v>26178.0</v>
      </c>
      <c r="E461" s="42">
        <v>26376.0</v>
      </c>
      <c r="F461" s="42">
        <v>26576.0</v>
      </c>
      <c r="G461" s="42">
        <v>26774.0</v>
      </c>
      <c r="H461" s="42">
        <v>26955.0</v>
      </c>
      <c r="I461" s="42">
        <v>27139.0</v>
      </c>
      <c r="J461" s="42">
        <v>27318.0</v>
      </c>
      <c r="K461" s="42">
        <v>27467.0</v>
      </c>
      <c r="L461" s="42">
        <v>27591.0</v>
      </c>
      <c r="M461" s="42">
        <v>27691.0</v>
      </c>
      <c r="N461" s="42">
        <v>27745.0</v>
      </c>
      <c r="O461" s="42">
        <v>27774.0</v>
      </c>
      <c r="P461" s="42">
        <v>27781.0</v>
      </c>
      <c r="Q461" s="42">
        <v>27796.0</v>
      </c>
    </row>
    <row r="462" ht="14.25" customHeight="1">
      <c r="A462" s="41" t="s">
        <v>126</v>
      </c>
      <c r="B462" s="48">
        <v>2.17</v>
      </c>
      <c r="C462" s="48">
        <v>2.18</v>
      </c>
      <c r="D462" s="48">
        <v>2.19</v>
      </c>
      <c r="E462" s="48">
        <v>2.2</v>
      </c>
      <c r="F462" s="48">
        <v>2.21</v>
      </c>
      <c r="G462" s="48">
        <v>2.22</v>
      </c>
      <c r="H462" s="48">
        <v>2.23</v>
      </c>
      <c r="I462" s="48">
        <v>2.24</v>
      </c>
      <c r="J462" s="48">
        <v>2.25</v>
      </c>
      <c r="K462" s="48">
        <v>2.26</v>
      </c>
      <c r="L462" s="48">
        <v>2.27</v>
      </c>
      <c r="M462" s="48">
        <v>2.28</v>
      </c>
      <c r="N462" s="48">
        <v>2.29</v>
      </c>
      <c r="O462" s="48">
        <v>2.3</v>
      </c>
      <c r="P462" s="48">
        <v>2.31</v>
      </c>
      <c r="Q462" s="48">
        <v>2.32</v>
      </c>
    </row>
    <row r="463" ht="14.25" customHeight="1">
      <c r="A463" s="40" t="s">
        <v>69</v>
      </c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4"/>
    </row>
    <row r="464" ht="14.25" customHeight="1">
      <c r="A464" s="41" t="s">
        <v>121</v>
      </c>
      <c r="B464" s="42">
        <v>332303.0</v>
      </c>
      <c r="C464" s="42">
        <v>331381.0</v>
      </c>
      <c r="D464" s="42">
        <v>330310.0</v>
      </c>
      <c r="E464" s="42">
        <v>329081.0</v>
      </c>
      <c r="F464" s="42">
        <v>327801.0</v>
      </c>
      <c r="G464" s="42">
        <v>326431.0</v>
      </c>
      <c r="H464" s="42">
        <v>325021.0</v>
      </c>
      <c r="I464" s="42">
        <v>323407.0</v>
      </c>
      <c r="J464" s="42">
        <v>321690.0</v>
      </c>
      <c r="K464" s="42">
        <v>319818.0</v>
      </c>
      <c r="L464" s="42">
        <v>317737.0</v>
      </c>
      <c r="M464" s="42">
        <v>315403.0</v>
      </c>
      <c r="N464" s="42">
        <v>312862.0</v>
      </c>
      <c r="O464" s="42">
        <v>310118.0</v>
      </c>
      <c r="P464" s="42">
        <v>307241.0</v>
      </c>
      <c r="Q464" s="42">
        <v>304334.0</v>
      </c>
    </row>
    <row r="465" ht="14.25" customHeight="1">
      <c r="A465" s="41" t="s">
        <v>122</v>
      </c>
      <c r="B465" s="42">
        <v>121895.0</v>
      </c>
      <c r="C465" s="42">
        <v>120403.0</v>
      </c>
      <c r="D465" s="42">
        <v>118818.0</v>
      </c>
      <c r="E465" s="42">
        <v>117135.0</v>
      </c>
      <c r="F465" s="42">
        <v>115427.0</v>
      </c>
      <c r="G465" s="42">
        <v>113670.0</v>
      </c>
      <c r="H465" s="42">
        <v>111913.0</v>
      </c>
      <c r="I465" s="42">
        <v>110043.0</v>
      </c>
      <c r="J465" s="42">
        <v>108152.0</v>
      </c>
      <c r="K465" s="42">
        <v>106226.0</v>
      </c>
      <c r="L465" s="42">
        <v>104208.0</v>
      </c>
      <c r="M465" s="42">
        <v>102096.0</v>
      </c>
      <c r="N465" s="42">
        <v>99968.0</v>
      </c>
      <c r="O465" s="42">
        <v>97802.0</v>
      </c>
      <c r="P465" s="42">
        <v>95589.0</v>
      </c>
      <c r="Q465" s="42">
        <v>93390.0</v>
      </c>
    </row>
    <row r="466" ht="14.25" customHeight="1">
      <c r="A466" s="41" t="s">
        <v>123</v>
      </c>
      <c r="B466" s="42">
        <v>105803.0</v>
      </c>
      <c r="C466" s="42">
        <v>105355.0</v>
      </c>
      <c r="D466" s="42">
        <v>104766.0</v>
      </c>
      <c r="E466" s="42">
        <v>104040.0</v>
      </c>
      <c r="F466" s="42">
        <v>103291.0</v>
      </c>
      <c r="G466" s="42">
        <v>102494.0</v>
      </c>
      <c r="H466" s="42">
        <v>101706.0</v>
      </c>
      <c r="I466" s="42">
        <v>100821.0</v>
      </c>
      <c r="J466" s="42">
        <v>99936.0</v>
      </c>
      <c r="K466" s="42">
        <v>99011.0</v>
      </c>
      <c r="L466" s="42">
        <v>98072.0</v>
      </c>
      <c r="M466" s="42">
        <v>97072.0</v>
      </c>
      <c r="N466" s="42">
        <v>95991.0</v>
      </c>
      <c r="O466" s="42">
        <v>94855.0</v>
      </c>
      <c r="P466" s="42">
        <v>93718.0</v>
      </c>
      <c r="Q466" s="42">
        <v>92523.0</v>
      </c>
    </row>
    <row r="467" ht="14.25" customHeight="1">
      <c r="A467" s="41" t="s">
        <v>124</v>
      </c>
      <c r="B467" s="42">
        <v>45828.0</v>
      </c>
      <c r="C467" s="42">
        <v>46455.0</v>
      </c>
      <c r="D467" s="42">
        <v>47099.0</v>
      </c>
      <c r="E467" s="42">
        <v>47746.0</v>
      </c>
      <c r="F467" s="42">
        <v>48377.0</v>
      </c>
      <c r="G467" s="42">
        <v>49001.0</v>
      </c>
      <c r="H467" s="42">
        <v>49607.0</v>
      </c>
      <c r="I467" s="42">
        <v>50184.0</v>
      </c>
      <c r="J467" s="42">
        <v>50722.0</v>
      </c>
      <c r="K467" s="42">
        <v>51216.0</v>
      </c>
      <c r="L467" s="42">
        <v>51673.0</v>
      </c>
      <c r="M467" s="42">
        <v>52084.0</v>
      </c>
      <c r="N467" s="42">
        <v>52444.0</v>
      </c>
      <c r="O467" s="42">
        <v>52758.0</v>
      </c>
      <c r="P467" s="42">
        <v>53045.0</v>
      </c>
      <c r="Q467" s="42">
        <v>53325.0</v>
      </c>
    </row>
    <row r="468" ht="14.25" customHeight="1">
      <c r="A468" s="41" t="s">
        <v>125</v>
      </c>
      <c r="B468" s="42">
        <v>58777.0</v>
      </c>
      <c r="C468" s="42">
        <v>59168.0</v>
      </c>
      <c r="D468" s="42">
        <v>59627.0</v>
      </c>
      <c r="E468" s="42">
        <v>60160.0</v>
      </c>
      <c r="F468" s="42">
        <v>60706.0</v>
      </c>
      <c r="G468" s="42">
        <v>61266.0</v>
      </c>
      <c r="H468" s="42">
        <v>61795.0</v>
      </c>
      <c r="I468" s="42">
        <v>62359.0</v>
      </c>
      <c r="J468" s="42">
        <v>62880.0</v>
      </c>
      <c r="K468" s="42">
        <v>63365.0</v>
      </c>
      <c r="L468" s="42">
        <v>63784.0</v>
      </c>
      <c r="M468" s="42">
        <v>64151.0</v>
      </c>
      <c r="N468" s="42">
        <v>64459.0</v>
      </c>
      <c r="O468" s="42">
        <v>64703.0</v>
      </c>
      <c r="P468" s="42">
        <v>64889.0</v>
      </c>
      <c r="Q468" s="42">
        <v>65096.0</v>
      </c>
    </row>
    <row r="469" ht="14.25" customHeight="1">
      <c r="A469" s="41" t="s">
        <v>126</v>
      </c>
      <c r="B469" s="48">
        <v>2.22</v>
      </c>
      <c r="C469" s="48">
        <v>2.22</v>
      </c>
      <c r="D469" s="48">
        <v>2.23</v>
      </c>
      <c r="E469" s="48">
        <v>2.24</v>
      </c>
      <c r="F469" s="48">
        <v>2.25</v>
      </c>
      <c r="G469" s="48">
        <v>2.27</v>
      </c>
      <c r="H469" s="48">
        <v>2.28</v>
      </c>
      <c r="I469" s="48">
        <v>2.29</v>
      </c>
      <c r="J469" s="48">
        <v>2.3</v>
      </c>
      <c r="K469" s="48">
        <v>2.31</v>
      </c>
      <c r="L469" s="48">
        <v>2.32</v>
      </c>
      <c r="M469" s="48">
        <v>2.33</v>
      </c>
      <c r="N469" s="48">
        <v>2.35</v>
      </c>
      <c r="O469" s="48">
        <v>2.36</v>
      </c>
      <c r="P469" s="48">
        <v>2.37</v>
      </c>
      <c r="Q469" s="48">
        <v>2.38</v>
      </c>
    </row>
    <row r="470" ht="14.25" customHeight="1">
      <c r="A470" s="40" t="s">
        <v>93</v>
      </c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4"/>
    </row>
    <row r="471" ht="14.25" customHeight="1">
      <c r="A471" s="41" t="s">
        <v>121</v>
      </c>
      <c r="B471" s="42">
        <v>159499.0</v>
      </c>
      <c r="C471" s="42">
        <v>158407.0</v>
      </c>
      <c r="D471" s="42">
        <v>157265.0</v>
      </c>
      <c r="E471" s="42">
        <v>156075.0</v>
      </c>
      <c r="F471" s="42">
        <v>154852.0</v>
      </c>
      <c r="G471" s="42">
        <v>153599.0</v>
      </c>
      <c r="H471" s="42">
        <v>152319.0</v>
      </c>
      <c r="I471" s="42">
        <v>150953.0</v>
      </c>
      <c r="J471" s="42">
        <v>149515.0</v>
      </c>
      <c r="K471" s="42">
        <v>147970.0</v>
      </c>
      <c r="L471" s="42">
        <v>146299.0</v>
      </c>
      <c r="M471" s="42">
        <v>144482.0</v>
      </c>
      <c r="N471" s="42">
        <v>142547.0</v>
      </c>
      <c r="O471" s="42">
        <v>140547.0</v>
      </c>
      <c r="P471" s="42">
        <v>138459.0</v>
      </c>
      <c r="Q471" s="42">
        <v>136342.0</v>
      </c>
    </row>
    <row r="472" ht="14.25" customHeight="1">
      <c r="A472" s="41" t="s">
        <v>122</v>
      </c>
      <c r="B472" s="42">
        <v>61102.0</v>
      </c>
      <c r="C472" s="42">
        <v>60073.0</v>
      </c>
      <c r="D472" s="42">
        <v>58998.0</v>
      </c>
      <c r="E472" s="42">
        <v>57900.0</v>
      </c>
      <c r="F472" s="42">
        <v>56793.0</v>
      </c>
      <c r="G472" s="42">
        <v>55685.0</v>
      </c>
      <c r="H472" s="42">
        <v>54582.0</v>
      </c>
      <c r="I472" s="42">
        <v>53439.0</v>
      </c>
      <c r="J472" s="42">
        <v>52286.0</v>
      </c>
      <c r="K472" s="42">
        <v>51107.0</v>
      </c>
      <c r="L472" s="42">
        <v>49881.0</v>
      </c>
      <c r="M472" s="42">
        <v>48607.0</v>
      </c>
      <c r="N472" s="42">
        <v>47326.0</v>
      </c>
      <c r="O472" s="42">
        <v>46069.0</v>
      </c>
      <c r="P472" s="42">
        <v>44780.0</v>
      </c>
      <c r="Q472" s="42">
        <v>43497.0</v>
      </c>
    </row>
    <row r="473" ht="14.25" customHeight="1">
      <c r="A473" s="41" t="s">
        <v>123</v>
      </c>
      <c r="B473" s="42">
        <v>49607.0</v>
      </c>
      <c r="C473" s="42">
        <v>49126.0</v>
      </c>
      <c r="D473" s="42">
        <v>48622.0</v>
      </c>
      <c r="E473" s="42">
        <v>48070.0</v>
      </c>
      <c r="F473" s="42">
        <v>47499.0</v>
      </c>
      <c r="G473" s="42">
        <v>46910.0</v>
      </c>
      <c r="H473" s="42">
        <v>46318.0</v>
      </c>
      <c r="I473" s="42">
        <v>45691.0</v>
      </c>
      <c r="J473" s="42">
        <v>45050.0</v>
      </c>
      <c r="K473" s="42">
        <v>44374.0</v>
      </c>
      <c r="L473" s="42">
        <v>43669.0</v>
      </c>
      <c r="M473" s="42">
        <v>42936.0</v>
      </c>
      <c r="N473" s="42">
        <v>42160.0</v>
      </c>
      <c r="O473" s="42">
        <v>41385.0</v>
      </c>
      <c r="P473" s="42">
        <v>40595.0</v>
      </c>
      <c r="Q473" s="42">
        <v>39771.0</v>
      </c>
    </row>
    <row r="474" ht="14.25" customHeight="1">
      <c r="A474" s="41" t="s">
        <v>124</v>
      </c>
      <c r="B474" s="42">
        <v>23842.0</v>
      </c>
      <c r="C474" s="42">
        <v>24062.0</v>
      </c>
      <c r="D474" s="42">
        <v>24281.0</v>
      </c>
      <c r="E474" s="42">
        <v>24503.0</v>
      </c>
      <c r="F474" s="42">
        <v>24716.0</v>
      </c>
      <c r="G474" s="42">
        <v>24916.0</v>
      </c>
      <c r="H474" s="42">
        <v>25103.0</v>
      </c>
      <c r="I474" s="42">
        <v>25274.0</v>
      </c>
      <c r="J474" s="42">
        <v>25422.0</v>
      </c>
      <c r="K474" s="42">
        <v>25540.0</v>
      </c>
      <c r="L474" s="42">
        <v>25635.0</v>
      </c>
      <c r="M474" s="42">
        <v>25694.0</v>
      </c>
      <c r="N474" s="42">
        <v>25722.0</v>
      </c>
      <c r="O474" s="42">
        <v>25714.0</v>
      </c>
      <c r="P474" s="42">
        <v>25685.0</v>
      </c>
      <c r="Q474" s="42">
        <v>25648.0</v>
      </c>
    </row>
    <row r="475" ht="14.25" customHeight="1">
      <c r="A475" s="41" t="s">
        <v>125</v>
      </c>
      <c r="B475" s="42">
        <v>24948.0</v>
      </c>
      <c r="C475" s="42">
        <v>25146.0</v>
      </c>
      <c r="D475" s="42">
        <v>25364.0</v>
      </c>
      <c r="E475" s="42">
        <v>25602.0</v>
      </c>
      <c r="F475" s="42">
        <v>25844.0</v>
      </c>
      <c r="G475" s="42">
        <v>26088.0</v>
      </c>
      <c r="H475" s="42">
        <v>26316.0</v>
      </c>
      <c r="I475" s="42">
        <v>26549.0</v>
      </c>
      <c r="J475" s="42">
        <v>26757.0</v>
      </c>
      <c r="K475" s="42">
        <v>26949.0</v>
      </c>
      <c r="L475" s="42">
        <v>27114.0</v>
      </c>
      <c r="M475" s="42">
        <v>27245.0</v>
      </c>
      <c r="N475" s="42">
        <v>27339.0</v>
      </c>
      <c r="O475" s="42">
        <v>27379.0</v>
      </c>
      <c r="P475" s="42">
        <v>27399.0</v>
      </c>
      <c r="Q475" s="42">
        <v>27426.0</v>
      </c>
    </row>
    <row r="476" ht="14.25" customHeight="1">
      <c r="A476" s="41" t="s">
        <v>126</v>
      </c>
      <c r="B476" s="48">
        <v>2.17</v>
      </c>
      <c r="C476" s="48">
        <v>2.18</v>
      </c>
      <c r="D476" s="48">
        <v>2.2</v>
      </c>
      <c r="E476" s="48">
        <v>2.21</v>
      </c>
      <c r="F476" s="48">
        <v>2.22</v>
      </c>
      <c r="G476" s="48">
        <v>2.23</v>
      </c>
      <c r="H476" s="48">
        <v>2.25</v>
      </c>
      <c r="I476" s="48">
        <v>2.26</v>
      </c>
      <c r="J476" s="48">
        <v>2.27</v>
      </c>
      <c r="K476" s="48">
        <v>2.28</v>
      </c>
      <c r="L476" s="48">
        <v>2.3</v>
      </c>
      <c r="M476" s="48">
        <v>2.31</v>
      </c>
      <c r="N476" s="48">
        <v>2.32</v>
      </c>
      <c r="O476" s="48">
        <v>2.34</v>
      </c>
      <c r="P476" s="48">
        <v>2.35</v>
      </c>
      <c r="Q476" s="48">
        <v>2.36</v>
      </c>
    </row>
    <row r="477" ht="14.25" customHeight="1">
      <c r="A477" s="40" t="s">
        <v>93</v>
      </c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4"/>
    </row>
    <row r="478" ht="14.25" customHeight="1">
      <c r="A478" s="41" t="s">
        <v>121</v>
      </c>
      <c r="B478" s="42">
        <v>159499.0</v>
      </c>
      <c r="C478" s="42">
        <v>158407.0</v>
      </c>
      <c r="D478" s="42">
        <v>157265.0</v>
      </c>
      <c r="E478" s="42">
        <v>156075.0</v>
      </c>
      <c r="F478" s="42">
        <v>154852.0</v>
      </c>
      <c r="G478" s="42">
        <v>153599.0</v>
      </c>
      <c r="H478" s="42">
        <v>152319.0</v>
      </c>
      <c r="I478" s="42">
        <v>150953.0</v>
      </c>
      <c r="J478" s="42">
        <v>149515.0</v>
      </c>
      <c r="K478" s="42">
        <v>147970.0</v>
      </c>
      <c r="L478" s="42">
        <v>146299.0</v>
      </c>
      <c r="M478" s="42">
        <v>144482.0</v>
      </c>
      <c r="N478" s="42">
        <v>142547.0</v>
      </c>
      <c r="O478" s="42">
        <v>140547.0</v>
      </c>
      <c r="P478" s="42">
        <v>138459.0</v>
      </c>
      <c r="Q478" s="42">
        <v>136342.0</v>
      </c>
    </row>
    <row r="479" ht="14.25" customHeight="1">
      <c r="A479" s="41" t="s">
        <v>122</v>
      </c>
      <c r="B479" s="42">
        <v>61102.0</v>
      </c>
      <c r="C479" s="42">
        <v>60073.0</v>
      </c>
      <c r="D479" s="42">
        <v>58998.0</v>
      </c>
      <c r="E479" s="42">
        <v>57900.0</v>
      </c>
      <c r="F479" s="42">
        <v>56793.0</v>
      </c>
      <c r="G479" s="42">
        <v>55685.0</v>
      </c>
      <c r="H479" s="42">
        <v>54582.0</v>
      </c>
      <c r="I479" s="42">
        <v>53439.0</v>
      </c>
      <c r="J479" s="42">
        <v>52286.0</v>
      </c>
      <c r="K479" s="42">
        <v>51107.0</v>
      </c>
      <c r="L479" s="42">
        <v>49881.0</v>
      </c>
      <c r="M479" s="42">
        <v>48607.0</v>
      </c>
      <c r="N479" s="42">
        <v>47326.0</v>
      </c>
      <c r="O479" s="42">
        <v>46069.0</v>
      </c>
      <c r="P479" s="42">
        <v>44780.0</v>
      </c>
      <c r="Q479" s="42">
        <v>43497.0</v>
      </c>
    </row>
    <row r="480" ht="14.25" customHeight="1">
      <c r="A480" s="41" t="s">
        <v>123</v>
      </c>
      <c r="B480" s="42">
        <v>49607.0</v>
      </c>
      <c r="C480" s="42">
        <v>49126.0</v>
      </c>
      <c r="D480" s="42">
        <v>48622.0</v>
      </c>
      <c r="E480" s="42">
        <v>48070.0</v>
      </c>
      <c r="F480" s="42">
        <v>47499.0</v>
      </c>
      <c r="G480" s="42">
        <v>46910.0</v>
      </c>
      <c r="H480" s="42">
        <v>46318.0</v>
      </c>
      <c r="I480" s="42">
        <v>45691.0</v>
      </c>
      <c r="J480" s="42">
        <v>45050.0</v>
      </c>
      <c r="K480" s="42">
        <v>44374.0</v>
      </c>
      <c r="L480" s="42">
        <v>43669.0</v>
      </c>
      <c r="M480" s="42">
        <v>42936.0</v>
      </c>
      <c r="N480" s="42">
        <v>42160.0</v>
      </c>
      <c r="O480" s="42">
        <v>41385.0</v>
      </c>
      <c r="P480" s="42">
        <v>40595.0</v>
      </c>
      <c r="Q480" s="42">
        <v>39771.0</v>
      </c>
    </row>
    <row r="481" ht="14.25" customHeight="1">
      <c r="A481" s="41" t="s">
        <v>124</v>
      </c>
      <c r="B481" s="42">
        <v>23842.0</v>
      </c>
      <c r="C481" s="42">
        <v>24062.0</v>
      </c>
      <c r="D481" s="42">
        <v>24281.0</v>
      </c>
      <c r="E481" s="42">
        <v>24503.0</v>
      </c>
      <c r="F481" s="42">
        <v>24716.0</v>
      </c>
      <c r="G481" s="42">
        <v>24916.0</v>
      </c>
      <c r="H481" s="42">
        <v>25103.0</v>
      </c>
      <c r="I481" s="42">
        <v>25274.0</v>
      </c>
      <c r="J481" s="42">
        <v>25422.0</v>
      </c>
      <c r="K481" s="42">
        <v>25540.0</v>
      </c>
      <c r="L481" s="42">
        <v>25635.0</v>
      </c>
      <c r="M481" s="42">
        <v>25694.0</v>
      </c>
      <c r="N481" s="42">
        <v>25722.0</v>
      </c>
      <c r="O481" s="42">
        <v>25714.0</v>
      </c>
      <c r="P481" s="42">
        <v>25685.0</v>
      </c>
      <c r="Q481" s="42">
        <v>25648.0</v>
      </c>
    </row>
    <row r="482" ht="14.25" customHeight="1">
      <c r="A482" s="41" t="s">
        <v>125</v>
      </c>
      <c r="B482" s="42">
        <v>24948.0</v>
      </c>
      <c r="C482" s="42">
        <v>25146.0</v>
      </c>
      <c r="D482" s="42">
        <v>25364.0</v>
      </c>
      <c r="E482" s="42">
        <v>25602.0</v>
      </c>
      <c r="F482" s="42">
        <v>25844.0</v>
      </c>
      <c r="G482" s="42">
        <v>26088.0</v>
      </c>
      <c r="H482" s="42">
        <v>26316.0</v>
      </c>
      <c r="I482" s="42">
        <v>26549.0</v>
      </c>
      <c r="J482" s="42">
        <v>26757.0</v>
      </c>
      <c r="K482" s="42">
        <v>26949.0</v>
      </c>
      <c r="L482" s="42">
        <v>27114.0</v>
      </c>
      <c r="M482" s="42">
        <v>27245.0</v>
      </c>
      <c r="N482" s="42">
        <v>27339.0</v>
      </c>
      <c r="O482" s="42">
        <v>27379.0</v>
      </c>
      <c r="P482" s="42">
        <v>27399.0</v>
      </c>
      <c r="Q482" s="42">
        <v>27426.0</v>
      </c>
    </row>
    <row r="483" ht="14.25" customHeight="1">
      <c r="A483" s="41" t="s">
        <v>126</v>
      </c>
      <c r="B483" s="48">
        <v>2.17</v>
      </c>
      <c r="C483" s="48">
        <v>2.18</v>
      </c>
      <c r="D483" s="48">
        <v>2.2</v>
      </c>
      <c r="E483" s="48">
        <v>2.21</v>
      </c>
      <c r="F483" s="48">
        <v>2.22</v>
      </c>
      <c r="G483" s="48">
        <v>2.23</v>
      </c>
      <c r="H483" s="48">
        <v>2.25</v>
      </c>
      <c r="I483" s="48">
        <v>2.26</v>
      </c>
      <c r="J483" s="48">
        <v>2.27</v>
      </c>
      <c r="K483" s="48">
        <v>2.28</v>
      </c>
      <c r="L483" s="48">
        <v>2.3</v>
      </c>
      <c r="M483" s="48">
        <v>2.31</v>
      </c>
      <c r="N483" s="48">
        <v>2.32</v>
      </c>
      <c r="O483" s="48">
        <v>2.34</v>
      </c>
      <c r="P483" s="48">
        <v>2.35</v>
      </c>
      <c r="Q483" s="48">
        <v>2.36</v>
      </c>
    </row>
    <row r="484" ht="14.25" customHeight="1">
      <c r="A484" s="40" t="s">
        <v>70</v>
      </c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4"/>
    </row>
    <row r="485" ht="14.25" customHeight="1">
      <c r="A485" s="41" t="s">
        <v>121</v>
      </c>
      <c r="B485" s="42">
        <v>28318.0</v>
      </c>
      <c r="C485" s="42">
        <v>28262.0</v>
      </c>
      <c r="D485" s="42">
        <v>28190.0</v>
      </c>
      <c r="E485" s="42">
        <v>28112.0</v>
      </c>
      <c r="F485" s="42">
        <v>28011.0</v>
      </c>
      <c r="G485" s="42">
        <v>27901.0</v>
      </c>
      <c r="H485" s="42">
        <v>27789.0</v>
      </c>
      <c r="I485" s="42">
        <v>27658.0</v>
      </c>
      <c r="J485" s="42">
        <v>27517.0</v>
      </c>
      <c r="K485" s="42">
        <v>27356.0</v>
      </c>
      <c r="L485" s="42">
        <v>27180.0</v>
      </c>
      <c r="M485" s="42">
        <v>26994.0</v>
      </c>
      <c r="N485" s="42">
        <v>26787.0</v>
      </c>
      <c r="O485" s="42">
        <v>26577.0</v>
      </c>
      <c r="P485" s="42">
        <v>26355.0</v>
      </c>
      <c r="Q485" s="42">
        <v>26088.0</v>
      </c>
    </row>
    <row r="486" ht="14.25" customHeight="1">
      <c r="A486" s="41" t="s">
        <v>122</v>
      </c>
      <c r="B486" s="42">
        <v>7662.0</v>
      </c>
      <c r="C486" s="42">
        <v>7559.0</v>
      </c>
      <c r="D486" s="42">
        <v>7446.0</v>
      </c>
      <c r="E486" s="42">
        <v>7332.0</v>
      </c>
      <c r="F486" s="42">
        <v>7203.0</v>
      </c>
      <c r="G486" s="42">
        <v>7072.0</v>
      </c>
      <c r="H486" s="42">
        <v>6946.0</v>
      </c>
      <c r="I486" s="42">
        <v>6811.0</v>
      </c>
      <c r="J486" s="42">
        <v>6678.0</v>
      </c>
      <c r="K486" s="42">
        <v>6536.0</v>
      </c>
      <c r="L486" s="42">
        <v>6392.0</v>
      </c>
      <c r="M486" s="42">
        <v>6251.0</v>
      </c>
      <c r="N486" s="42">
        <v>6100.0</v>
      </c>
      <c r="O486" s="42">
        <v>5957.0</v>
      </c>
      <c r="P486" s="42">
        <v>5812.0</v>
      </c>
      <c r="Q486" s="42">
        <v>5646.0</v>
      </c>
    </row>
    <row r="487" ht="14.25" customHeight="1">
      <c r="A487" s="41" t="s">
        <v>123</v>
      </c>
      <c r="B487" s="42">
        <v>7285.0</v>
      </c>
      <c r="C487" s="42">
        <v>7213.0</v>
      </c>
      <c r="D487" s="42">
        <v>7137.0</v>
      </c>
      <c r="E487" s="42">
        <v>7056.0</v>
      </c>
      <c r="F487" s="42">
        <v>6963.0</v>
      </c>
      <c r="G487" s="42">
        <v>6866.0</v>
      </c>
      <c r="H487" s="42">
        <v>6770.0</v>
      </c>
      <c r="I487" s="42">
        <v>6664.0</v>
      </c>
      <c r="J487" s="42">
        <v>6555.0</v>
      </c>
      <c r="K487" s="42">
        <v>6439.0</v>
      </c>
      <c r="L487" s="42">
        <v>6319.0</v>
      </c>
      <c r="M487" s="42">
        <v>6197.0</v>
      </c>
      <c r="N487" s="42">
        <v>6070.0</v>
      </c>
      <c r="O487" s="42">
        <v>5940.0</v>
      </c>
      <c r="P487" s="42">
        <v>5807.0</v>
      </c>
      <c r="Q487" s="42">
        <v>5655.0</v>
      </c>
    </row>
    <row r="488" ht="14.25" customHeight="1">
      <c r="A488" s="41" t="s">
        <v>124</v>
      </c>
      <c r="B488" s="42">
        <v>5567.0</v>
      </c>
      <c r="C488" s="42">
        <v>5554.0</v>
      </c>
      <c r="D488" s="42">
        <v>5536.0</v>
      </c>
      <c r="E488" s="42">
        <v>5517.0</v>
      </c>
      <c r="F488" s="42">
        <v>5495.0</v>
      </c>
      <c r="G488" s="42">
        <v>5469.0</v>
      </c>
      <c r="H488" s="42">
        <v>5441.0</v>
      </c>
      <c r="I488" s="42">
        <v>5408.0</v>
      </c>
      <c r="J488" s="42">
        <v>5370.0</v>
      </c>
      <c r="K488" s="42">
        <v>5327.0</v>
      </c>
      <c r="L488" s="42">
        <v>5281.0</v>
      </c>
      <c r="M488" s="42">
        <v>5229.0</v>
      </c>
      <c r="N488" s="42">
        <v>5174.0</v>
      </c>
      <c r="O488" s="42">
        <v>5116.0</v>
      </c>
      <c r="P488" s="42">
        <v>5054.0</v>
      </c>
      <c r="Q488" s="42">
        <v>4985.0</v>
      </c>
    </row>
    <row r="489" ht="14.25" customHeight="1">
      <c r="A489" s="41" t="s">
        <v>125</v>
      </c>
      <c r="B489" s="42">
        <v>7804.0</v>
      </c>
      <c r="C489" s="42">
        <v>7936.0</v>
      </c>
      <c r="D489" s="42">
        <v>8071.0</v>
      </c>
      <c r="E489" s="42">
        <v>8207.0</v>
      </c>
      <c r="F489" s="42">
        <v>8350.0</v>
      </c>
      <c r="G489" s="42">
        <v>8494.0</v>
      </c>
      <c r="H489" s="42">
        <v>8632.0</v>
      </c>
      <c r="I489" s="42">
        <v>8775.0</v>
      </c>
      <c r="J489" s="42">
        <v>8914.0</v>
      </c>
      <c r="K489" s="42">
        <v>9054.0</v>
      </c>
      <c r="L489" s="42">
        <v>9188.0</v>
      </c>
      <c r="M489" s="42">
        <v>9317.0</v>
      </c>
      <c r="N489" s="42">
        <v>9443.0</v>
      </c>
      <c r="O489" s="42">
        <v>9564.0</v>
      </c>
      <c r="P489" s="42">
        <v>9682.0</v>
      </c>
      <c r="Q489" s="42">
        <v>9802.0</v>
      </c>
    </row>
    <row r="490" ht="14.25" customHeight="1">
      <c r="A490" s="41" t="s">
        <v>126</v>
      </c>
      <c r="B490" s="48">
        <v>2.7</v>
      </c>
      <c r="C490" s="48">
        <v>2.72</v>
      </c>
      <c r="D490" s="48">
        <v>2.74</v>
      </c>
      <c r="E490" s="48">
        <v>2.76</v>
      </c>
      <c r="F490" s="48">
        <v>2.79</v>
      </c>
      <c r="G490" s="48">
        <v>2.81</v>
      </c>
      <c r="H490" s="48">
        <v>2.84</v>
      </c>
      <c r="I490" s="48">
        <v>2.87</v>
      </c>
      <c r="J490" s="48">
        <v>2.9</v>
      </c>
      <c r="K490" s="48">
        <v>2.93</v>
      </c>
      <c r="L490" s="48">
        <v>2.96</v>
      </c>
      <c r="M490" s="48">
        <v>2.99</v>
      </c>
      <c r="N490" s="48">
        <v>3.02</v>
      </c>
      <c r="O490" s="48">
        <v>3.06</v>
      </c>
      <c r="P490" s="48">
        <v>3.09</v>
      </c>
      <c r="Q490" s="48">
        <v>3.13</v>
      </c>
    </row>
    <row r="491" ht="14.25" customHeight="1">
      <c r="A491" s="40" t="s">
        <v>70</v>
      </c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4"/>
    </row>
    <row r="492" ht="14.25" customHeight="1">
      <c r="A492" s="41" t="s">
        <v>121</v>
      </c>
      <c r="B492" s="42">
        <v>28318.0</v>
      </c>
      <c r="C492" s="42">
        <v>28262.0</v>
      </c>
      <c r="D492" s="42">
        <v>28190.0</v>
      </c>
      <c r="E492" s="42">
        <v>28112.0</v>
      </c>
      <c r="F492" s="42">
        <v>28011.0</v>
      </c>
      <c r="G492" s="42">
        <v>27901.0</v>
      </c>
      <c r="H492" s="42">
        <v>27789.0</v>
      </c>
      <c r="I492" s="42">
        <v>27658.0</v>
      </c>
      <c r="J492" s="42">
        <v>27517.0</v>
      </c>
      <c r="K492" s="42">
        <v>27356.0</v>
      </c>
      <c r="L492" s="42">
        <v>27180.0</v>
      </c>
      <c r="M492" s="42">
        <v>26994.0</v>
      </c>
      <c r="N492" s="42">
        <v>26787.0</v>
      </c>
      <c r="O492" s="42">
        <v>26577.0</v>
      </c>
      <c r="P492" s="42">
        <v>26355.0</v>
      </c>
      <c r="Q492" s="42">
        <v>26088.0</v>
      </c>
    </row>
    <row r="493" ht="14.25" customHeight="1">
      <c r="A493" s="41" t="s">
        <v>122</v>
      </c>
      <c r="B493" s="42">
        <v>7662.0</v>
      </c>
      <c r="C493" s="42">
        <v>7559.0</v>
      </c>
      <c r="D493" s="42">
        <v>7446.0</v>
      </c>
      <c r="E493" s="42">
        <v>7332.0</v>
      </c>
      <c r="F493" s="42">
        <v>7203.0</v>
      </c>
      <c r="G493" s="42">
        <v>7072.0</v>
      </c>
      <c r="H493" s="42">
        <v>6946.0</v>
      </c>
      <c r="I493" s="42">
        <v>6811.0</v>
      </c>
      <c r="J493" s="42">
        <v>6678.0</v>
      </c>
      <c r="K493" s="42">
        <v>6536.0</v>
      </c>
      <c r="L493" s="42">
        <v>6392.0</v>
      </c>
      <c r="M493" s="42">
        <v>6251.0</v>
      </c>
      <c r="N493" s="42">
        <v>6100.0</v>
      </c>
      <c r="O493" s="42">
        <v>5957.0</v>
      </c>
      <c r="P493" s="42">
        <v>5812.0</v>
      </c>
      <c r="Q493" s="42">
        <v>5646.0</v>
      </c>
    </row>
    <row r="494" ht="14.25" customHeight="1">
      <c r="A494" s="41" t="s">
        <v>123</v>
      </c>
      <c r="B494" s="42">
        <v>7285.0</v>
      </c>
      <c r="C494" s="42">
        <v>7213.0</v>
      </c>
      <c r="D494" s="42">
        <v>7137.0</v>
      </c>
      <c r="E494" s="42">
        <v>7056.0</v>
      </c>
      <c r="F494" s="42">
        <v>6963.0</v>
      </c>
      <c r="G494" s="42">
        <v>6866.0</v>
      </c>
      <c r="H494" s="42">
        <v>6770.0</v>
      </c>
      <c r="I494" s="42">
        <v>6664.0</v>
      </c>
      <c r="J494" s="42">
        <v>6555.0</v>
      </c>
      <c r="K494" s="42">
        <v>6439.0</v>
      </c>
      <c r="L494" s="42">
        <v>6319.0</v>
      </c>
      <c r="M494" s="42">
        <v>6197.0</v>
      </c>
      <c r="N494" s="42">
        <v>6070.0</v>
      </c>
      <c r="O494" s="42">
        <v>5940.0</v>
      </c>
      <c r="P494" s="42">
        <v>5807.0</v>
      </c>
      <c r="Q494" s="42">
        <v>5655.0</v>
      </c>
    </row>
    <row r="495" ht="14.25" customHeight="1">
      <c r="A495" s="41" t="s">
        <v>124</v>
      </c>
      <c r="B495" s="42">
        <v>5567.0</v>
      </c>
      <c r="C495" s="42">
        <v>5554.0</v>
      </c>
      <c r="D495" s="42">
        <v>5536.0</v>
      </c>
      <c r="E495" s="42">
        <v>5517.0</v>
      </c>
      <c r="F495" s="42">
        <v>5495.0</v>
      </c>
      <c r="G495" s="42">
        <v>5469.0</v>
      </c>
      <c r="H495" s="42">
        <v>5441.0</v>
      </c>
      <c r="I495" s="42">
        <v>5408.0</v>
      </c>
      <c r="J495" s="42">
        <v>5370.0</v>
      </c>
      <c r="K495" s="42">
        <v>5327.0</v>
      </c>
      <c r="L495" s="42">
        <v>5281.0</v>
      </c>
      <c r="M495" s="42">
        <v>5229.0</v>
      </c>
      <c r="N495" s="42">
        <v>5174.0</v>
      </c>
      <c r="O495" s="42">
        <v>5116.0</v>
      </c>
      <c r="P495" s="42">
        <v>5054.0</v>
      </c>
      <c r="Q495" s="42">
        <v>4985.0</v>
      </c>
    </row>
    <row r="496" ht="14.25" customHeight="1">
      <c r="A496" s="41" t="s">
        <v>125</v>
      </c>
      <c r="B496" s="42">
        <v>7804.0</v>
      </c>
      <c r="C496" s="42">
        <v>7936.0</v>
      </c>
      <c r="D496" s="42">
        <v>8071.0</v>
      </c>
      <c r="E496" s="42">
        <v>8207.0</v>
      </c>
      <c r="F496" s="42">
        <v>8350.0</v>
      </c>
      <c r="G496" s="42">
        <v>8494.0</v>
      </c>
      <c r="H496" s="42">
        <v>8632.0</v>
      </c>
      <c r="I496" s="42">
        <v>8775.0</v>
      </c>
      <c r="J496" s="42">
        <v>8914.0</v>
      </c>
      <c r="K496" s="42">
        <v>9054.0</v>
      </c>
      <c r="L496" s="42">
        <v>9188.0</v>
      </c>
      <c r="M496" s="42">
        <v>9317.0</v>
      </c>
      <c r="N496" s="42">
        <v>9443.0</v>
      </c>
      <c r="O496" s="42">
        <v>9564.0</v>
      </c>
      <c r="P496" s="42">
        <v>9682.0</v>
      </c>
      <c r="Q496" s="42">
        <v>9802.0</v>
      </c>
    </row>
    <row r="497" ht="14.25" customHeight="1">
      <c r="A497" s="41" t="s">
        <v>126</v>
      </c>
      <c r="B497" s="48">
        <v>2.7</v>
      </c>
      <c r="C497" s="48">
        <v>2.72</v>
      </c>
      <c r="D497" s="48">
        <v>2.74</v>
      </c>
      <c r="E497" s="48">
        <v>2.76</v>
      </c>
      <c r="F497" s="48">
        <v>2.79</v>
      </c>
      <c r="G497" s="48">
        <v>2.81</v>
      </c>
      <c r="H497" s="48">
        <v>2.84</v>
      </c>
      <c r="I497" s="48">
        <v>2.87</v>
      </c>
      <c r="J497" s="48">
        <v>2.9</v>
      </c>
      <c r="K497" s="48">
        <v>2.93</v>
      </c>
      <c r="L497" s="48">
        <v>2.96</v>
      </c>
      <c r="M497" s="48">
        <v>2.99</v>
      </c>
      <c r="N497" s="48">
        <v>3.02</v>
      </c>
      <c r="O497" s="48">
        <v>3.06</v>
      </c>
      <c r="P497" s="48">
        <v>3.09</v>
      </c>
      <c r="Q497" s="48">
        <v>3.13</v>
      </c>
    </row>
    <row r="498" ht="14.25" customHeight="1">
      <c r="A498" s="40" t="s">
        <v>71</v>
      </c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4"/>
    </row>
    <row r="499" ht="14.25" customHeight="1">
      <c r="A499" s="41" t="s">
        <v>121</v>
      </c>
      <c r="B499" s="42">
        <v>31651.0</v>
      </c>
      <c r="C499" s="42">
        <v>31429.0</v>
      </c>
      <c r="D499" s="42">
        <v>31193.0</v>
      </c>
      <c r="E499" s="42">
        <v>30951.0</v>
      </c>
      <c r="F499" s="42">
        <v>30697.0</v>
      </c>
      <c r="G499" s="42">
        <v>30424.0</v>
      </c>
      <c r="H499" s="42">
        <v>30145.0</v>
      </c>
      <c r="I499" s="42">
        <v>29841.0</v>
      </c>
      <c r="J499" s="42">
        <v>29514.0</v>
      </c>
      <c r="K499" s="42">
        <v>29165.0</v>
      </c>
      <c r="L499" s="42">
        <v>28797.0</v>
      </c>
      <c r="M499" s="42">
        <v>28399.0</v>
      </c>
      <c r="N499" s="42">
        <v>27970.0</v>
      </c>
      <c r="O499" s="42">
        <v>27513.0</v>
      </c>
      <c r="P499" s="42">
        <v>27039.0</v>
      </c>
      <c r="Q499" s="42">
        <v>26540.0</v>
      </c>
    </row>
    <row r="500" ht="14.25" customHeight="1">
      <c r="A500" s="41" t="s">
        <v>122</v>
      </c>
      <c r="B500" s="42">
        <v>8485.0</v>
      </c>
      <c r="C500" s="42">
        <v>8297.0</v>
      </c>
      <c r="D500" s="42">
        <v>8101.0</v>
      </c>
      <c r="E500" s="42">
        <v>7905.0</v>
      </c>
      <c r="F500" s="42">
        <v>7705.0</v>
      </c>
      <c r="G500" s="42">
        <v>7496.0</v>
      </c>
      <c r="H500" s="42">
        <v>7288.0</v>
      </c>
      <c r="I500" s="42">
        <v>7070.0</v>
      </c>
      <c r="J500" s="42">
        <v>6847.0</v>
      </c>
      <c r="K500" s="42">
        <v>6617.0</v>
      </c>
      <c r="L500" s="42">
        <v>6390.0</v>
      </c>
      <c r="M500" s="42">
        <v>6161.0</v>
      </c>
      <c r="N500" s="42">
        <v>5924.0</v>
      </c>
      <c r="O500" s="42">
        <v>5683.0</v>
      </c>
      <c r="P500" s="42">
        <v>5439.0</v>
      </c>
      <c r="Q500" s="42">
        <v>5188.0</v>
      </c>
    </row>
    <row r="501" ht="14.25" customHeight="1">
      <c r="A501" s="41" t="s">
        <v>123</v>
      </c>
      <c r="B501" s="42">
        <v>8355.0</v>
      </c>
      <c r="C501" s="42">
        <v>8221.0</v>
      </c>
      <c r="D501" s="42">
        <v>8079.0</v>
      </c>
      <c r="E501" s="42">
        <v>7936.0</v>
      </c>
      <c r="F501" s="42">
        <v>7787.0</v>
      </c>
      <c r="G501" s="42">
        <v>7629.0</v>
      </c>
      <c r="H501" s="42">
        <v>7475.0</v>
      </c>
      <c r="I501" s="42">
        <v>7307.0</v>
      </c>
      <c r="J501" s="42">
        <v>7131.0</v>
      </c>
      <c r="K501" s="42">
        <v>6956.0</v>
      </c>
      <c r="L501" s="42">
        <v>6771.0</v>
      </c>
      <c r="M501" s="42">
        <v>6580.0</v>
      </c>
      <c r="N501" s="42">
        <v>6384.0</v>
      </c>
      <c r="O501" s="42">
        <v>6182.0</v>
      </c>
      <c r="P501" s="42">
        <v>5979.0</v>
      </c>
      <c r="Q501" s="42">
        <v>5768.0</v>
      </c>
    </row>
    <row r="502" ht="14.25" customHeight="1">
      <c r="A502" s="41" t="s">
        <v>124</v>
      </c>
      <c r="B502" s="42">
        <v>5643.0</v>
      </c>
      <c r="C502" s="42">
        <v>5623.0</v>
      </c>
      <c r="D502" s="42">
        <v>5602.0</v>
      </c>
      <c r="E502" s="42">
        <v>5578.0</v>
      </c>
      <c r="F502" s="42">
        <v>5552.0</v>
      </c>
      <c r="G502" s="42">
        <v>5522.0</v>
      </c>
      <c r="H502" s="42">
        <v>5491.0</v>
      </c>
      <c r="I502" s="42">
        <v>5457.0</v>
      </c>
      <c r="J502" s="42">
        <v>5418.0</v>
      </c>
      <c r="K502" s="42">
        <v>5376.0</v>
      </c>
      <c r="L502" s="42">
        <v>5330.0</v>
      </c>
      <c r="M502" s="42">
        <v>5278.0</v>
      </c>
      <c r="N502" s="42">
        <v>5223.0</v>
      </c>
      <c r="O502" s="42">
        <v>5163.0</v>
      </c>
      <c r="P502" s="42">
        <v>5103.0</v>
      </c>
      <c r="Q502" s="42">
        <v>5041.0</v>
      </c>
    </row>
    <row r="503" ht="14.25" customHeight="1">
      <c r="A503" s="41" t="s">
        <v>125</v>
      </c>
      <c r="B503" s="42">
        <v>9168.0</v>
      </c>
      <c r="C503" s="42">
        <v>9288.0</v>
      </c>
      <c r="D503" s="42">
        <v>9411.0</v>
      </c>
      <c r="E503" s="42">
        <v>9532.0</v>
      </c>
      <c r="F503" s="42">
        <v>9653.0</v>
      </c>
      <c r="G503" s="42">
        <v>9777.0</v>
      </c>
      <c r="H503" s="42">
        <v>9891.0</v>
      </c>
      <c r="I503" s="42">
        <v>10007.0</v>
      </c>
      <c r="J503" s="42">
        <v>10118.0</v>
      </c>
      <c r="K503" s="42">
        <v>10216.0</v>
      </c>
      <c r="L503" s="42">
        <v>10306.0</v>
      </c>
      <c r="M503" s="42">
        <v>10380.0</v>
      </c>
      <c r="N503" s="42">
        <v>10439.0</v>
      </c>
      <c r="O503" s="42">
        <v>10485.0</v>
      </c>
      <c r="P503" s="42">
        <v>10518.0</v>
      </c>
      <c r="Q503" s="42">
        <v>10543.0</v>
      </c>
    </row>
    <row r="504" ht="14.25" customHeight="1">
      <c r="A504" s="41" t="s">
        <v>126</v>
      </c>
      <c r="B504" s="48">
        <v>2.69</v>
      </c>
      <c r="C504" s="48">
        <v>2.71</v>
      </c>
      <c r="D504" s="48">
        <v>2.74</v>
      </c>
      <c r="E504" s="48">
        <v>2.76</v>
      </c>
      <c r="F504" s="48">
        <v>2.79</v>
      </c>
      <c r="G504" s="48">
        <v>2.82</v>
      </c>
      <c r="H504" s="48">
        <v>2.85</v>
      </c>
      <c r="I504" s="48">
        <v>2.88</v>
      </c>
      <c r="J504" s="48">
        <v>2.91</v>
      </c>
      <c r="K504" s="48">
        <v>2.94</v>
      </c>
      <c r="L504" s="48">
        <v>2.98</v>
      </c>
      <c r="M504" s="48">
        <v>3.02</v>
      </c>
      <c r="N504" s="48">
        <v>3.06</v>
      </c>
      <c r="O504" s="48">
        <v>3.1</v>
      </c>
      <c r="P504" s="48">
        <v>3.14</v>
      </c>
      <c r="Q504" s="48">
        <v>3.19</v>
      </c>
    </row>
    <row r="505" ht="14.25" customHeight="1">
      <c r="A505" s="40" t="s">
        <v>71</v>
      </c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4"/>
    </row>
    <row r="506" ht="14.25" customHeight="1">
      <c r="A506" s="41" t="s">
        <v>121</v>
      </c>
      <c r="B506" s="42">
        <v>31651.0</v>
      </c>
      <c r="C506" s="42">
        <v>31429.0</v>
      </c>
      <c r="D506" s="42">
        <v>31193.0</v>
      </c>
      <c r="E506" s="42">
        <v>30951.0</v>
      </c>
      <c r="F506" s="42">
        <v>30697.0</v>
      </c>
      <c r="G506" s="42">
        <v>30424.0</v>
      </c>
      <c r="H506" s="42">
        <v>30145.0</v>
      </c>
      <c r="I506" s="42">
        <v>29841.0</v>
      </c>
      <c r="J506" s="42">
        <v>29514.0</v>
      </c>
      <c r="K506" s="42">
        <v>29165.0</v>
      </c>
      <c r="L506" s="42">
        <v>28797.0</v>
      </c>
      <c r="M506" s="42">
        <v>28399.0</v>
      </c>
      <c r="N506" s="42">
        <v>27970.0</v>
      </c>
      <c r="O506" s="42">
        <v>27513.0</v>
      </c>
      <c r="P506" s="42">
        <v>27039.0</v>
      </c>
      <c r="Q506" s="42">
        <v>26540.0</v>
      </c>
    </row>
    <row r="507" ht="14.25" customHeight="1">
      <c r="A507" s="41" t="s">
        <v>122</v>
      </c>
      <c r="B507" s="42">
        <v>8485.0</v>
      </c>
      <c r="C507" s="42">
        <v>8297.0</v>
      </c>
      <c r="D507" s="42">
        <v>8101.0</v>
      </c>
      <c r="E507" s="42">
        <v>7905.0</v>
      </c>
      <c r="F507" s="42">
        <v>7705.0</v>
      </c>
      <c r="G507" s="42">
        <v>7496.0</v>
      </c>
      <c r="H507" s="42">
        <v>7288.0</v>
      </c>
      <c r="I507" s="42">
        <v>7070.0</v>
      </c>
      <c r="J507" s="42">
        <v>6847.0</v>
      </c>
      <c r="K507" s="42">
        <v>6617.0</v>
      </c>
      <c r="L507" s="42">
        <v>6390.0</v>
      </c>
      <c r="M507" s="42">
        <v>6161.0</v>
      </c>
      <c r="N507" s="42">
        <v>5924.0</v>
      </c>
      <c r="O507" s="42">
        <v>5683.0</v>
      </c>
      <c r="P507" s="42">
        <v>5439.0</v>
      </c>
      <c r="Q507" s="42">
        <v>5188.0</v>
      </c>
    </row>
    <row r="508" ht="14.25" customHeight="1">
      <c r="A508" s="41" t="s">
        <v>123</v>
      </c>
      <c r="B508" s="42">
        <v>8355.0</v>
      </c>
      <c r="C508" s="42">
        <v>8221.0</v>
      </c>
      <c r="D508" s="42">
        <v>8079.0</v>
      </c>
      <c r="E508" s="42">
        <v>7936.0</v>
      </c>
      <c r="F508" s="42">
        <v>7787.0</v>
      </c>
      <c r="G508" s="42">
        <v>7629.0</v>
      </c>
      <c r="H508" s="42">
        <v>7475.0</v>
      </c>
      <c r="I508" s="42">
        <v>7307.0</v>
      </c>
      <c r="J508" s="42">
        <v>7131.0</v>
      </c>
      <c r="K508" s="42">
        <v>6956.0</v>
      </c>
      <c r="L508" s="42">
        <v>6771.0</v>
      </c>
      <c r="M508" s="42">
        <v>6580.0</v>
      </c>
      <c r="N508" s="42">
        <v>6384.0</v>
      </c>
      <c r="O508" s="42">
        <v>6182.0</v>
      </c>
      <c r="P508" s="42">
        <v>5979.0</v>
      </c>
      <c r="Q508" s="42">
        <v>5768.0</v>
      </c>
    </row>
    <row r="509" ht="14.25" customHeight="1">
      <c r="A509" s="41" t="s">
        <v>124</v>
      </c>
      <c r="B509" s="42">
        <v>5643.0</v>
      </c>
      <c r="C509" s="42">
        <v>5623.0</v>
      </c>
      <c r="D509" s="42">
        <v>5602.0</v>
      </c>
      <c r="E509" s="42">
        <v>5578.0</v>
      </c>
      <c r="F509" s="42">
        <v>5552.0</v>
      </c>
      <c r="G509" s="42">
        <v>5522.0</v>
      </c>
      <c r="H509" s="42">
        <v>5491.0</v>
      </c>
      <c r="I509" s="42">
        <v>5457.0</v>
      </c>
      <c r="J509" s="42">
        <v>5418.0</v>
      </c>
      <c r="K509" s="42">
        <v>5376.0</v>
      </c>
      <c r="L509" s="42">
        <v>5330.0</v>
      </c>
      <c r="M509" s="42">
        <v>5278.0</v>
      </c>
      <c r="N509" s="42">
        <v>5223.0</v>
      </c>
      <c r="O509" s="42">
        <v>5163.0</v>
      </c>
      <c r="P509" s="42">
        <v>5103.0</v>
      </c>
      <c r="Q509" s="42">
        <v>5041.0</v>
      </c>
    </row>
    <row r="510" ht="14.25" customHeight="1">
      <c r="A510" s="41" t="s">
        <v>125</v>
      </c>
      <c r="B510" s="42">
        <v>9168.0</v>
      </c>
      <c r="C510" s="42">
        <v>9288.0</v>
      </c>
      <c r="D510" s="42">
        <v>9411.0</v>
      </c>
      <c r="E510" s="42">
        <v>9532.0</v>
      </c>
      <c r="F510" s="42">
        <v>9653.0</v>
      </c>
      <c r="G510" s="42">
        <v>9777.0</v>
      </c>
      <c r="H510" s="42">
        <v>9891.0</v>
      </c>
      <c r="I510" s="42">
        <v>10007.0</v>
      </c>
      <c r="J510" s="42">
        <v>10118.0</v>
      </c>
      <c r="K510" s="42">
        <v>10216.0</v>
      </c>
      <c r="L510" s="42">
        <v>10306.0</v>
      </c>
      <c r="M510" s="42">
        <v>10380.0</v>
      </c>
      <c r="N510" s="42">
        <v>10439.0</v>
      </c>
      <c r="O510" s="42">
        <v>10485.0</v>
      </c>
      <c r="P510" s="42">
        <v>10518.0</v>
      </c>
      <c r="Q510" s="42">
        <v>10543.0</v>
      </c>
    </row>
    <row r="511" ht="14.25" customHeight="1">
      <c r="A511" s="41" t="s">
        <v>126</v>
      </c>
      <c r="B511" s="48">
        <v>2.69</v>
      </c>
      <c r="C511" s="48">
        <v>2.71</v>
      </c>
      <c r="D511" s="48">
        <v>2.74</v>
      </c>
      <c r="E511" s="48">
        <v>2.76</v>
      </c>
      <c r="F511" s="48">
        <v>2.79</v>
      </c>
      <c r="G511" s="48">
        <v>2.82</v>
      </c>
      <c r="H511" s="48">
        <v>2.85</v>
      </c>
      <c r="I511" s="48">
        <v>2.88</v>
      </c>
      <c r="J511" s="48">
        <v>2.91</v>
      </c>
      <c r="K511" s="48">
        <v>2.94</v>
      </c>
      <c r="L511" s="48">
        <v>2.98</v>
      </c>
      <c r="M511" s="48">
        <v>3.02</v>
      </c>
      <c r="N511" s="48">
        <v>3.06</v>
      </c>
      <c r="O511" s="48">
        <v>3.1</v>
      </c>
      <c r="P511" s="48">
        <v>3.14</v>
      </c>
      <c r="Q511" s="48">
        <v>3.19</v>
      </c>
    </row>
    <row r="512" ht="14.25" customHeight="1"/>
    <row r="513" ht="14.25" customHeight="1"/>
    <row r="514" ht="14.25" customHeight="1">
      <c r="A514" s="45" t="s">
        <v>113</v>
      </c>
    </row>
    <row r="515" ht="14.25" customHeight="1"/>
    <row r="516" ht="14.25" customHeight="1">
      <c r="A516" s="45" t="s">
        <v>115</v>
      </c>
    </row>
    <row r="517" ht="14.25" customHeight="1">
      <c r="A517" s="49"/>
    </row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309:Q309"/>
    <mergeCell ref="A316:Q316"/>
    <mergeCell ref="A323:Q323"/>
    <mergeCell ref="A330:Q330"/>
    <mergeCell ref="A337:Q337"/>
    <mergeCell ref="A344:Q344"/>
    <mergeCell ref="A351:Q351"/>
    <mergeCell ref="A358:Q358"/>
    <mergeCell ref="A365:Q365"/>
    <mergeCell ref="A372:Q372"/>
    <mergeCell ref="A379:Q379"/>
    <mergeCell ref="A386:Q386"/>
    <mergeCell ref="A393:Q393"/>
    <mergeCell ref="A400:Q400"/>
    <mergeCell ref="A456:Q456"/>
    <mergeCell ref="A463:Q463"/>
    <mergeCell ref="A470:Q470"/>
    <mergeCell ref="A477:Q477"/>
    <mergeCell ref="A484:Q484"/>
    <mergeCell ref="A491:Q491"/>
    <mergeCell ref="A498:Q498"/>
    <mergeCell ref="A505:Q505"/>
    <mergeCell ref="A407:Q407"/>
    <mergeCell ref="A414:Q414"/>
    <mergeCell ref="A421:Q421"/>
    <mergeCell ref="A428:Q428"/>
    <mergeCell ref="A435:Q435"/>
    <mergeCell ref="A442:Q442"/>
    <mergeCell ref="A449:Q449"/>
    <mergeCell ref="A1:K1"/>
    <mergeCell ref="A2:K2"/>
    <mergeCell ref="A3:K3"/>
    <mergeCell ref="A4:K4"/>
    <mergeCell ref="A5:K5"/>
    <mergeCell ref="A6:K6"/>
    <mergeCell ref="A8:Q8"/>
    <mergeCell ref="A15:Q15"/>
    <mergeCell ref="A22:Q22"/>
    <mergeCell ref="A29:Q29"/>
    <mergeCell ref="A36:Q36"/>
    <mergeCell ref="A43:Q43"/>
    <mergeCell ref="A50:Q50"/>
    <mergeCell ref="A57:Q57"/>
    <mergeCell ref="A64:Q64"/>
    <mergeCell ref="A71:Q71"/>
    <mergeCell ref="A78:Q78"/>
    <mergeCell ref="A85:Q85"/>
    <mergeCell ref="A92:Q92"/>
    <mergeCell ref="A99:Q99"/>
    <mergeCell ref="A106:Q106"/>
    <mergeCell ref="A113:Q113"/>
    <mergeCell ref="A120:Q120"/>
    <mergeCell ref="A127:Q127"/>
    <mergeCell ref="A134:Q134"/>
    <mergeCell ref="A141:Q141"/>
    <mergeCell ref="A148:Q148"/>
    <mergeCell ref="A155:Q155"/>
    <mergeCell ref="A162:Q162"/>
    <mergeCell ref="A169:Q169"/>
    <mergeCell ref="A176:Q176"/>
    <mergeCell ref="A183:Q183"/>
    <mergeCell ref="A190:Q190"/>
    <mergeCell ref="A197:Q197"/>
    <mergeCell ref="A204:Q204"/>
    <mergeCell ref="A211:Q211"/>
    <mergeCell ref="A218:Q218"/>
    <mergeCell ref="A225:Q225"/>
    <mergeCell ref="A232:Q232"/>
    <mergeCell ref="A239:Q239"/>
    <mergeCell ref="A246:Q246"/>
    <mergeCell ref="A253:Q253"/>
    <mergeCell ref="A260:Q260"/>
    <mergeCell ref="A267:Q267"/>
    <mergeCell ref="A274:Q274"/>
    <mergeCell ref="A281:Q281"/>
    <mergeCell ref="A288:Q288"/>
    <mergeCell ref="A295:Q295"/>
    <mergeCell ref="A302:Q30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2025-09-21T06:12:37Z</dcterms:created>
  <dc:creator>Apache POI</dc:creator>
</cp:coreProperties>
</file>